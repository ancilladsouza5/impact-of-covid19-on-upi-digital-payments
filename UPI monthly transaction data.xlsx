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PROJECT\Apr-Jun2025\"/>
    </mc:Choice>
  </mc:AlternateContent>
  <bookViews>
    <workbookView xWindow="0" yWindow="0" windowWidth="20490" windowHeight="7530" firstSheet="5" activeTab="5"/>
  </bookViews>
  <sheets>
    <sheet name="Title" sheetId="8" r:id="rId1"/>
    <sheet name="Product Statistics-19-20" sheetId="2" r:id="rId2"/>
    <sheet name="Product Statistics-20-21" sheetId="1" r:id="rId3"/>
    <sheet name="Combined Data" sheetId="4" r:id="rId4"/>
    <sheet name="Comparative Analysis" sheetId="6" r:id="rId5"/>
    <sheet name="Graphical Representation" sheetId="7" r:id="rId6"/>
    <sheet name="Summary" sheetId="5" r:id="rId7"/>
  </sheets>
  <calcPr calcId="162913"/>
</workbook>
</file>

<file path=xl/calcChain.xml><?xml version="1.0" encoding="utf-8"?>
<calcChain xmlns="http://schemas.openxmlformats.org/spreadsheetml/2006/main">
  <c r="C6" i="6" l="1"/>
  <c r="B6" i="6"/>
  <c r="C5" i="6"/>
  <c r="B5" i="6"/>
  <c r="C4" i="6"/>
  <c r="B4" i="6"/>
  <c r="C3" i="6"/>
  <c r="B3" i="6"/>
  <c r="C2" i="6"/>
  <c r="B2" i="6"/>
  <c r="G13" i="2"/>
  <c r="G4" i="2"/>
  <c r="G5" i="2"/>
  <c r="G6" i="2"/>
  <c r="G7" i="2"/>
  <c r="G8" i="2"/>
  <c r="G9" i="2"/>
  <c r="G10" i="2"/>
  <c r="G11" i="2"/>
  <c r="G12" i="2"/>
  <c r="G3" i="2"/>
  <c r="F4" i="2"/>
  <c r="F5" i="2"/>
  <c r="F6" i="2"/>
  <c r="F7" i="2"/>
  <c r="F8" i="2"/>
  <c r="F9" i="2"/>
  <c r="F10" i="2"/>
  <c r="F11" i="2"/>
  <c r="F12" i="2"/>
  <c r="F13" i="2"/>
  <c r="F3" i="2"/>
  <c r="G4" i="1"/>
  <c r="G5" i="1"/>
  <c r="G6" i="1"/>
  <c r="G7" i="1"/>
  <c r="G8" i="1"/>
  <c r="G9" i="1"/>
  <c r="G10" i="1"/>
  <c r="G11" i="1"/>
  <c r="G12" i="1"/>
  <c r="G13" i="1"/>
  <c r="G3" i="1"/>
  <c r="F4" i="1"/>
  <c r="F5" i="1"/>
  <c r="F6" i="1"/>
  <c r="F7" i="1"/>
  <c r="F8" i="1"/>
  <c r="F9" i="1"/>
  <c r="F10" i="1"/>
  <c r="F11" i="1"/>
  <c r="F12" i="1"/>
  <c r="F13" i="1"/>
  <c r="F3" i="1"/>
  <c r="G16" i="4"/>
  <c r="G15" i="4"/>
  <c r="G17" i="4"/>
  <c r="G18" i="4"/>
  <c r="G19" i="4"/>
  <c r="G20" i="4"/>
  <c r="G21" i="4"/>
  <c r="G22" i="4"/>
  <c r="G23" i="4"/>
  <c r="G24" i="4"/>
  <c r="G25" i="4"/>
  <c r="G4" i="4"/>
  <c r="G5" i="4"/>
  <c r="G6" i="4"/>
  <c r="G7" i="4"/>
  <c r="G8" i="4"/>
  <c r="G9" i="4"/>
  <c r="G10" i="4"/>
  <c r="G11" i="4"/>
  <c r="G12" i="4"/>
  <c r="G13" i="4"/>
  <c r="G3" i="4"/>
  <c r="F16" i="4"/>
  <c r="F17" i="4"/>
  <c r="F18" i="4"/>
  <c r="F19" i="4"/>
  <c r="F20" i="4"/>
  <c r="F21" i="4"/>
  <c r="F22" i="4"/>
  <c r="F23" i="4"/>
  <c r="F24" i="4"/>
  <c r="F25" i="4"/>
  <c r="F15" i="4"/>
  <c r="F13" i="4"/>
  <c r="F4" i="4"/>
  <c r="F5" i="4"/>
  <c r="F6" i="4"/>
  <c r="F7" i="4"/>
  <c r="F8" i="4"/>
  <c r="F9" i="4"/>
  <c r="F10" i="4"/>
  <c r="F11" i="4"/>
  <c r="F12" i="4"/>
  <c r="F3" i="4"/>
</calcChain>
</file>

<file path=xl/sharedStrings.xml><?xml version="1.0" encoding="utf-8"?>
<sst xmlns="http://schemas.openxmlformats.org/spreadsheetml/2006/main" count="141" uniqueCount="61">
  <si>
    <t>Month</t>
  </si>
  <si>
    <t>No. of Banks live on UPI</t>
  </si>
  <si>
    <t>Volume (In Mn.)</t>
  </si>
  <si>
    <t>Value (In Cr.)</t>
  </si>
  <si>
    <t>216</t>
  </si>
  <si>
    <t>213</t>
  </si>
  <si>
    <t>207</t>
  </si>
  <si>
    <t>200</t>
  </si>
  <si>
    <t>189</t>
  </si>
  <si>
    <t>174</t>
  </si>
  <si>
    <t>168</t>
  </si>
  <si>
    <t>164</t>
  </si>
  <si>
    <t>155</t>
  </si>
  <si>
    <t>153</t>
  </si>
  <si>
    <t>148</t>
  </si>
  <si>
    <t>146</t>
  </si>
  <si>
    <t>144</t>
  </si>
  <si>
    <t>143</t>
  </si>
  <si>
    <t>141</t>
  </si>
  <si>
    <t>142</t>
  </si>
  <si>
    <t>Period</t>
  </si>
  <si>
    <t>Pre-COVID</t>
  </si>
  <si>
    <t>COVID</t>
  </si>
  <si>
    <t>Vol Growth %</t>
  </si>
  <si>
    <t>Value Growth %</t>
  </si>
  <si>
    <t>NA</t>
  </si>
  <si>
    <t>Indicator</t>
  </si>
  <si>
    <t>Average Banks Live</t>
  </si>
  <si>
    <t>Average Transaction Volume</t>
  </si>
  <si>
    <t>Average Transaction Value</t>
  </si>
  <si>
    <t>Average Volume Growth %</t>
  </si>
  <si>
    <t>Average Value Growth %</t>
  </si>
  <si>
    <t>Volume</t>
  </si>
  <si>
    <t>Volume Trend</t>
  </si>
  <si>
    <t>Value Trend</t>
  </si>
  <si>
    <t>Value</t>
  </si>
  <si>
    <t>Banks Trend</t>
  </si>
  <si>
    <t>Banks Live</t>
  </si>
  <si>
    <t>TRENDS</t>
  </si>
  <si>
    <t>UPI transaction volume increased during the COVID-19 period.</t>
  </si>
  <si>
    <t>Transaction value showed significant growth during the pandemic.</t>
  </si>
  <si>
    <t>The number of banks live on UPI increased steadily.</t>
  </si>
  <si>
    <t>Customers preferred contactless digital payments during COVID-19.</t>
  </si>
  <si>
    <t>COVID-19 accelerated adoption of UPI in India.</t>
  </si>
  <si>
    <t>Interpretation</t>
  </si>
  <si>
    <t>A Study on the Impact of COVID-19 on Digital Payment Behaviour Among Customers in India: A Case Study of UPI</t>
  </si>
  <si>
    <t>Details</t>
  </si>
  <si>
    <t>Information</t>
  </si>
  <si>
    <t>Prepared By</t>
  </si>
  <si>
    <t>Course</t>
  </si>
  <si>
    <t>Data Source</t>
  </si>
  <si>
    <t>NPCI Website</t>
  </si>
  <si>
    <t>Data Type</t>
  </si>
  <si>
    <t>Secondary Data</t>
  </si>
  <si>
    <t>Period of Study</t>
  </si>
  <si>
    <t>Source: National Payments Corporation of India (NPCI)</t>
  </si>
  <si>
    <t xml:space="preserve">Ancilla Fiona Dsouza </t>
  </si>
  <si>
    <t>Bcom</t>
  </si>
  <si>
    <t>April 2025 - June 2025</t>
  </si>
  <si>
    <t xml:space="preserve">Link :  </t>
  </si>
  <si>
    <t>https://www.npci.org.in/product/upi/product-statistics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</si>
</sst>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0.000"/>
    <numFmt numFmtId="166" formatCode="0.0"/>
  </numFmts>
  <fonts count="8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1">
    <xf numFmtId="0" fontId="0" fillId="0" borderId="0" xfId="0" applyNumberFormat="1"/>
    <xf numFmtId="0" fontId="0" fillId="0" borderId="0" xfId="0" applyNumberFormat="1"/>
    <xf numFmtId="0" fontId="2" fillId="2" borderId="1" xfId="0" applyNumberFormat="1" applyFont="1" applyFill="1" applyBorder="1"/>
    <xf numFmtId="0" fontId="2" fillId="2" borderId="2" xfId="0" applyNumberFormat="1" applyFont="1" applyFill="1" applyBorder="1"/>
    <xf numFmtId="0" fontId="2" fillId="2" borderId="7" xfId="0" applyNumberFormat="1" applyFont="1" applyFill="1" applyBorder="1"/>
    <xf numFmtId="164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164" fontId="0" fillId="3" borderId="3" xfId="0" applyNumberFormat="1" applyFont="1" applyFill="1" applyBorder="1" applyAlignment="1">
      <alignment horizontal="right"/>
    </xf>
    <xf numFmtId="0" fontId="0" fillId="3" borderId="4" xfId="0" applyNumberFormat="1" applyFont="1" applyFill="1" applyBorder="1" applyAlignment="1">
      <alignment horizontal="right"/>
    </xf>
    <xf numFmtId="164" fontId="0" fillId="4" borderId="3" xfId="0" applyNumberFormat="1" applyFont="1" applyFill="1" applyBorder="1" applyAlignment="1">
      <alignment horizontal="right"/>
    </xf>
    <xf numFmtId="0" fontId="0" fillId="4" borderId="4" xfId="0" applyNumberFormat="1" applyFont="1" applyFill="1" applyBorder="1" applyAlignment="1">
      <alignment horizontal="right"/>
    </xf>
    <xf numFmtId="164" fontId="0" fillId="3" borderId="5" xfId="0" applyNumberFormat="1" applyFont="1" applyFill="1" applyBorder="1" applyAlignment="1">
      <alignment horizontal="right"/>
    </xf>
    <xf numFmtId="0" fontId="0" fillId="3" borderId="6" xfId="0" applyNumberFormat="1" applyFont="1" applyFill="1" applyBorder="1" applyAlignment="1">
      <alignment horizontal="right"/>
    </xf>
    <xf numFmtId="165" fontId="0" fillId="3" borderId="4" xfId="0" applyNumberFormat="1" applyFont="1" applyFill="1" applyBorder="1" applyAlignment="1">
      <alignment horizontal="right"/>
    </xf>
    <xf numFmtId="165" fontId="0" fillId="4" borderId="4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3" borderId="6" xfId="0" applyNumberFormat="1" applyFont="1" applyFill="1" applyBorder="1" applyAlignment="1">
      <alignment horizontal="right"/>
    </xf>
    <xf numFmtId="0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4" fillId="0" borderId="0" xfId="0" applyNumberFormat="1" applyFont="1" applyAlignment="1">
      <alignment vertical="center"/>
    </xf>
    <xf numFmtId="164" fontId="0" fillId="6" borderId="9" xfId="0" applyNumberFormat="1" applyFont="1" applyFill="1" applyBorder="1" applyAlignment="1">
      <alignment horizontal="right"/>
    </xf>
    <xf numFmtId="0" fontId="0" fillId="6" borderId="9" xfId="0" applyNumberFormat="1" applyFont="1" applyFill="1" applyBorder="1"/>
    <xf numFmtId="164" fontId="0" fillId="7" borderId="9" xfId="0" applyNumberFormat="1" applyFont="1" applyFill="1" applyBorder="1" applyAlignment="1">
      <alignment horizontal="right"/>
    </xf>
    <xf numFmtId="0" fontId="0" fillId="7" borderId="9" xfId="0" applyNumberFormat="1" applyFont="1" applyFill="1" applyBorder="1"/>
    <xf numFmtId="0" fontId="3" fillId="5" borderId="9" xfId="0" applyNumberFormat="1" applyFont="1" applyFill="1" applyBorder="1"/>
    <xf numFmtId="0" fontId="5" fillId="0" borderId="0" xfId="0" applyNumberFormat="1" applyFont="1"/>
    <xf numFmtId="164" fontId="0" fillId="6" borderId="0" xfId="0" applyNumberFormat="1" applyFont="1" applyFill="1" applyBorder="1" applyAlignment="1">
      <alignment horizontal="right"/>
    </xf>
    <xf numFmtId="0" fontId="0" fillId="7" borderId="0" xfId="0" applyNumberFormat="1" applyFont="1" applyFill="1" applyBorder="1"/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 wrapText="1"/>
    </xf>
    <xf numFmtId="0" fontId="0" fillId="0" borderId="9" xfId="0" applyNumberFormat="1" applyBorder="1"/>
    <xf numFmtId="0" fontId="0" fillId="0" borderId="0" xfId="0" applyNumberFormat="1" applyAlignment="1">
      <alignment vertical="top"/>
    </xf>
    <xf numFmtId="0" fontId="0" fillId="8" borderId="15" xfId="0" applyNumberFormat="1" applyFill="1" applyBorder="1" applyAlignment="1">
      <alignment vertical="center"/>
    </xf>
    <xf numFmtId="0" fontId="3" fillId="8" borderId="17" xfId="0" applyNumberFormat="1" applyFont="1" applyFill="1" applyBorder="1" applyAlignment="1">
      <alignment horizontal="left" vertical="center"/>
    </xf>
    <xf numFmtId="0" fontId="0" fillId="8" borderId="19" xfId="0" applyNumberFormat="1" applyFill="1" applyBorder="1"/>
    <xf numFmtId="0" fontId="0" fillId="8" borderId="18" xfId="0" applyNumberFormat="1" applyFill="1" applyBorder="1"/>
    <xf numFmtId="0" fontId="0" fillId="8" borderId="10" xfId="0" applyNumberFormat="1" applyFill="1" applyBorder="1" applyAlignment="1">
      <alignment horizontal="left"/>
    </xf>
    <xf numFmtId="0" fontId="0" fillId="8" borderId="11" xfId="0" applyNumberFormat="1" applyFill="1" applyBorder="1" applyAlignment="1">
      <alignment horizontal="left"/>
    </xf>
    <xf numFmtId="0" fontId="0" fillId="8" borderId="12" xfId="0" applyNumberFormat="1" applyFill="1" applyBorder="1" applyAlignment="1">
      <alignment horizontal="left"/>
    </xf>
    <xf numFmtId="0" fontId="7" fillId="8" borderId="8" xfId="1" applyNumberFormat="1" applyFill="1" applyBorder="1" applyAlignment="1">
      <alignment horizontal="left"/>
    </xf>
    <xf numFmtId="0" fontId="7" fillId="8" borderId="16" xfId="1" applyNumberFormat="1" applyFill="1" applyBorder="1" applyAlignment="1">
      <alignment horizontal="left"/>
    </xf>
    <xf numFmtId="0" fontId="0" fillId="0" borderId="13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0" fillId="0" borderId="15" xfId="0" applyNumberFormat="1" applyBorder="1" applyAlignment="1">
      <alignment horizontal="left" vertical="center"/>
    </xf>
    <xf numFmtId="0" fontId="0" fillId="0" borderId="16" xfId="0" applyNumberFormat="1" applyBorder="1" applyAlignment="1">
      <alignment horizontal="left" vertical="center"/>
    </xf>
    <xf numFmtId="0" fontId="1" fillId="8" borderId="10" xfId="0" applyNumberFormat="1" applyFont="1" applyFill="1" applyBorder="1" applyAlignment="1">
      <alignment horizontal="center" vertical="center" wrapText="1"/>
    </xf>
    <xf numFmtId="0" fontId="1" fillId="8" borderId="11" xfId="0" applyNumberFormat="1" applyFont="1" applyFill="1" applyBorder="1" applyAlignment="1">
      <alignment horizontal="center" vertical="center" wrapText="1"/>
    </xf>
    <xf numFmtId="0" fontId="1" fillId="8" borderId="12" xfId="0" applyNumberFormat="1" applyFont="1" applyFill="1" applyBorder="1" applyAlignment="1">
      <alignment horizontal="center" vertical="center" wrapText="1"/>
    </xf>
    <xf numFmtId="0" fontId="1" fillId="8" borderId="15" xfId="0" applyNumberFormat="1" applyFont="1" applyFill="1" applyBorder="1" applyAlignment="1">
      <alignment horizontal="center" vertical="center" wrapText="1"/>
    </xf>
    <xf numFmtId="0" fontId="1" fillId="8" borderId="8" xfId="0" applyNumberFormat="1" applyFont="1" applyFill="1" applyBorder="1" applyAlignment="1">
      <alignment horizontal="center" vertical="center" wrapText="1"/>
    </xf>
    <xf numFmtId="0" fontId="1" fillId="8" borderId="16" xfId="0" applyNumberFormat="1" applyFont="1" applyFill="1" applyBorder="1" applyAlignment="1">
      <alignment horizontal="center" vertical="center" wrapText="1"/>
    </xf>
    <xf numFmtId="0" fontId="3" fillId="0" borderId="19" xfId="0" applyNumberFormat="1" applyFont="1" applyBorder="1" applyAlignment="1">
      <alignment horizontal="left" vertical="center"/>
    </xf>
    <xf numFmtId="0" fontId="3" fillId="0" borderId="18" xfId="0" applyNumberFormat="1" applyFont="1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0" fontId="0" fillId="0" borderId="14" xfId="0" applyNumberFormat="1" applyBorder="1" applyAlignment="1">
      <alignment horizontal="left" vertical="center"/>
    </xf>
    <xf numFmtId="0" fontId="0" fillId="0" borderId="8" xfId="0" applyNumberFormat="1" applyBorder="1" applyAlignment="1">
      <alignment horizontal="left" vertical="center"/>
    </xf>
    <xf numFmtId="0" fontId="3" fillId="0" borderId="17" xfId="0" applyNumberFormat="1" applyFont="1" applyBorder="1" applyAlignment="1">
      <alignment horizontal="left" vertical="center"/>
    </xf>
    <xf numFmtId="0" fontId="0" fillId="0" borderId="10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0" fontId="0" fillId="0" borderId="13" xfId="0" applyNumberFormat="1" applyBorder="1" applyAlignment="1">
      <alignment horizontal="left" vertical="center"/>
    </xf>
    <xf numFmtId="0" fontId="6" fillId="8" borderId="0" xfId="0" applyNumberFormat="1" applyFont="1" applyFill="1" applyAlignment="1">
      <alignment horizontal="center"/>
    </xf>
    <xf numFmtId="0" fontId="0" fillId="8" borderId="10" xfId="0" applyNumberFormat="1" applyFill="1" applyBorder="1" applyAlignment="1">
      <alignment horizontal="left" vertical="center" wrapText="1"/>
    </xf>
    <xf numFmtId="0" fontId="0" fillId="8" borderId="11" xfId="0" applyNumberFormat="1" applyFill="1" applyBorder="1" applyAlignment="1">
      <alignment horizontal="left" vertical="center" wrapText="1"/>
    </xf>
    <xf numFmtId="0" fontId="0" fillId="8" borderId="12" xfId="0" applyNumberFormat="1" applyFill="1" applyBorder="1" applyAlignment="1">
      <alignment horizontal="left" vertical="center" wrapText="1"/>
    </xf>
    <xf numFmtId="0" fontId="0" fillId="8" borderId="13" xfId="0" applyNumberFormat="1" applyFill="1" applyBorder="1" applyAlignment="1">
      <alignment horizontal="left" vertical="center" wrapText="1"/>
    </xf>
    <xf numFmtId="0" fontId="0" fillId="8" borderId="0" xfId="0" applyNumberFormat="1" applyFill="1" applyBorder="1" applyAlignment="1">
      <alignment horizontal="left" vertical="center" wrapText="1"/>
    </xf>
    <xf numFmtId="0" fontId="0" fillId="8" borderId="14" xfId="0" applyNumberFormat="1" applyFill="1" applyBorder="1" applyAlignment="1">
      <alignment horizontal="left" vertical="center" wrapText="1"/>
    </xf>
    <xf numFmtId="0" fontId="0" fillId="8" borderId="15" xfId="0" applyNumberFormat="1" applyFill="1" applyBorder="1" applyAlignment="1">
      <alignment horizontal="left" vertical="center" wrapText="1"/>
    </xf>
    <xf numFmtId="0" fontId="0" fillId="8" borderId="8" xfId="0" applyNumberFormat="1" applyFill="1" applyBorder="1" applyAlignment="1">
      <alignment horizontal="left" vertical="center" wrapText="1"/>
    </xf>
    <xf numFmtId="0" fontId="0" fillId="8" borderId="16" xfId="0" applyNumberForma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-409]d\-mmm\-yy;@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numFmt numFmtId="0" formatCode="General"/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-409]d\-mmm\-yy;@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numFmt numFmtId="0" formatCode="General"/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5" formatCode="0.000"/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5" formatCode="0.000"/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[$-409]d\-mmm\-yy;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Pre-COVID vs COVID UPI Comparison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'Comparative Analysis'!$B$1</c:f>
              <c:strCache>
                <c:ptCount val="1"/>
                <c:pt idx="0">
                  <c:v>Pre-COVID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'Comparative Analysis'!$A$2:$A$6</c:f>
              <c:strCache>
                <c:ptCount val="5"/>
                <c:pt idx="0">
                  <c:v>Average Banks Live</c:v>
                </c:pt>
                <c:pt idx="1">
                  <c:v>Average Transaction Volume</c:v>
                </c:pt>
                <c:pt idx="2">
                  <c:v>Average Transaction Value</c:v>
                </c:pt>
                <c:pt idx="3">
                  <c:v>Average Volume Growth %</c:v>
                </c:pt>
                <c:pt idx="4">
                  <c:v>Average Value Growth %</c:v>
                </c:pt>
              </c:strCache>
            </c:strRef>
          </c:cat>
          <c:val>
            <c:numRef>
              <c:f>'Comparative Analysis'!$B$2:$B$6</c:f>
              <c:numCache>
                <c:formatCode>0.0</c:formatCode>
                <c:ptCount val="5"/>
                <c:pt idx="0">
                  <c:v>143.5</c:v>
                </c:pt>
                <c:pt idx="1">
                  <c:v>1043.2175</c:v>
                </c:pt>
                <c:pt idx="2">
                  <c:v>177644.17833333334</c:v>
                </c:pt>
                <c:pt idx="3">
                  <c:v>4.5866285860348457</c:v>
                </c:pt>
                <c:pt idx="4">
                  <c:v>3.6627102983246758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7-47F2-B65D-B66525EC6300}"/>
            </c:ext>
          </c:extLst>
        </c:ser>
        <c:ser>
          <c:idx val="1"/>
          <c:order val="1"/>
          <c:tx>
            <c:strRef>
              <c:f>'Comparative Analysis'!$C$1</c:f>
              <c:strCache>
                <c:ptCount val="1"/>
                <c:pt idx="0">
                  <c:v>COVID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100000"/>
                    <a:shade val="100000"/>
                    <a:satMod val="130000"/>
                  </a:schemeClr>
                </a:gs>
                <a:gs pos="100000">
                  <a:schemeClr val="accent3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'Comparative Analysis'!$A$2:$A$6</c:f>
              <c:strCache>
                <c:ptCount val="5"/>
                <c:pt idx="0">
                  <c:v>Average Banks Live</c:v>
                </c:pt>
                <c:pt idx="1">
                  <c:v>Average Transaction Volume</c:v>
                </c:pt>
                <c:pt idx="2">
                  <c:v>Average Transaction Value</c:v>
                </c:pt>
                <c:pt idx="3">
                  <c:v>Average Volume Growth %</c:v>
                </c:pt>
                <c:pt idx="4">
                  <c:v>Average Value Growth %</c:v>
                </c:pt>
              </c:strCache>
            </c:strRef>
          </c:cat>
          <c:val>
            <c:numRef>
              <c:f>'Comparative Analysis'!$C$2:$C$6</c:f>
              <c:numCache>
                <c:formatCode>0.0</c:formatCode>
                <c:ptCount val="5"/>
                <c:pt idx="0">
                  <c:v>183.41666666666666</c:v>
                </c:pt>
                <c:pt idx="1">
                  <c:v>1860.8875</c:v>
                </c:pt>
                <c:pt idx="2">
                  <c:v>341971.13166666665</c:v>
                </c:pt>
                <c:pt idx="3">
                  <c:v>9.7950907602166932</c:v>
                </c:pt>
                <c:pt idx="4">
                  <c:v>12.212945599065366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7-47F2-B65D-B66525EC63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9073216"/>
        <c:axId val="489074200"/>
      </c:barChart>
      <c:catAx>
        <c:axId val="48907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74200"/>
        <c:crosses val="autoZero"/>
        <c:auto val="1"/>
        <c:lblAlgn val="ctr"/>
        <c:lblOffset val="100"/>
        <c:noMultiLvlLbl val="0"/>
      </c:catAx>
      <c:valAx>
        <c:axId val="48907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Trend in UPI Transaction Volume</a:t>
            </a:r>
            <a:r>
              <a:rPr lang="en-US" sz="1600" b="1" i="0" u="none" strike="noStrike" baseline="0"/>
              <a:t>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'Graphical Representation'!$B$3</c:f>
              <c:strCache>
                <c:ptCount val="1"/>
                <c:pt idx="0">
                  <c:v>Volume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'Graphical Representation'!$A$4:$A$27</c:f>
              <c:numCache>
                <c:formatCode>[$-409]d\-mmm\-yy;@</c:formatCode>
                <c:ptCount val="24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</c:numCache>
            </c:numRef>
          </c:cat>
          <c:val>
            <c:numRef>
              <c:f>'Graphical Representation'!$B$4:$B$27</c:f>
              <c:numCache>
                <c:formatCode>General</c:formatCode>
                <c:ptCount val="24"/>
                <c:pt idx="0">
                  <c:v>781.79</c:v>
                </c:pt>
                <c:pt idx="1">
                  <c:v>733.54</c:v>
                </c:pt>
                <c:pt idx="2">
                  <c:v>754.54</c:v>
                </c:pt>
                <c:pt idx="3">
                  <c:v>822.29</c:v>
                </c:pt>
                <c:pt idx="4">
                  <c:v>918.35</c:v>
                </c:pt>
                <c:pt idx="5">
                  <c:v>955.02</c:v>
                </c:pt>
                <c:pt idx="6">
                  <c:v>1148.3599999999999</c:v>
                </c:pt>
                <c:pt idx="7">
                  <c:v>1218.77</c:v>
                </c:pt>
                <c:pt idx="8">
                  <c:v>1308.4000000000001</c:v>
                </c:pt>
                <c:pt idx="9">
                  <c:v>1305.02</c:v>
                </c:pt>
                <c:pt idx="10">
                  <c:v>1325.69</c:v>
                </c:pt>
                <c:pt idx="11">
                  <c:v>1246.8399999999999</c:v>
                </c:pt>
                <c:pt idx="12">
                  <c:v>999.57</c:v>
                </c:pt>
                <c:pt idx="13">
                  <c:v>1234.5</c:v>
                </c:pt>
                <c:pt idx="14">
                  <c:v>1336.93</c:v>
                </c:pt>
                <c:pt idx="15">
                  <c:v>1497.36</c:v>
                </c:pt>
                <c:pt idx="16">
                  <c:v>1618.83</c:v>
                </c:pt>
                <c:pt idx="17">
                  <c:v>1800.14</c:v>
                </c:pt>
                <c:pt idx="18">
                  <c:v>2071.62</c:v>
                </c:pt>
                <c:pt idx="19">
                  <c:v>2210.23</c:v>
                </c:pt>
                <c:pt idx="20">
                  <c:v>2234.16</c:v>
                </c:pt>
                <c:pt idx="21">
                  <c:v>2302.73</c:v>
                </c:pt>
                <c:pt idx="22">
                  <c:v>2292.9</c:v>
                </c:pt>
                <c:pt idx="23">
                  <c:v>2731.68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B-4CEB-8AE0-B5662F394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634528"/>
        <c:axId val="483634856"/>
      </c:lineChart>
      <c:dateAx>
        <c:axId val="483634528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634856"/>
        <c:crosses val="autoZero"/>
        <c:auto val="1"/>
        <c:lblOffset val="100"/>
        <c:baseTimeUnit val="months"/>
      </c:dateAx>
      <c:valAx>
        <c:axId val="48363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63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>
                <a:effectLst/>
              </a:rPr>
              <a:t>Trend in UPI Transaction Value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'Graphical Representation'!$B$31</c:f>
              <c:strCache>
                <c:ptCount val="1"/>
                <c:pt idx="0">
                  <c:v>Value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'Graphical Representation'!$A$32:$A$55</c:f>
              <c:numCache>
                <c:formatCode>[$-409]d\-mmm\-yy;@</c:formatCode>
                <c:ptCount val="24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</c:numCache>
            </c:numRef>
          </c:xVal>
          <c:yVal>
            <c:numRef>
              <c:f>'Graphical Representation'!$B$32:$B$55</c:f>
              <c:numCache>
                <c:formatCode>General</c:formatCode>
                <c:ptCount val="24"/>
                <c:pt idx="0">
                  <c:v>142034.39000000001</c:v>
                </c:pt>
                <c:pt idx="1">
                  <c:v>152449.29</c:v>
                </c:pt>
                <c:pt idx="2">
                  <c:v>146566.35</c:v>
                </c:pt>
                <c:pt idx="3">
                  <c:v>146386.64000000001</c:v>
                </c:pt>
                <c:pt idx="4">
                  <c:v>154504.89000000001</c:v>
                </c:pt>
                <c:pt idx="5">
                  <c:v>161456.56</c:v>
                </c:pt>
                <c:pt idx="6">
                  <c:v>191359.94</c:v>
                </c:pt>
                <c:pt idx="7">
                  <c:v>189229.09</c:v>
                </c:pt>
                <c:pt idx="8">
                  <c:v>202520.76</c:v>
                </c:pt>
                <c:pt idx="9">
                  <c:v>216242.97</c:v>
                </c:pt>
                <c:pt idx="10">
                  <c:v>222516.95</c:v>
                </c:pt>
                <c:pt idx="11">
                  <c:v>206462.31</c:v>
                </c:pt>
                <c:pt idx="12">
                  <c:v>151140.66</c:v>
                </c:pt>
                <c:pt idx="13">
                  <c:v>218391.6</c:v>
                </c:pt>
                <c:pt idx="14">
                  <c:v>261835</c:v>
                </c:pt>
                <c:pt idx="15">
                  <c:v>290537.86</c:v>
                </c:pt>
                <c:pt idx="16">
                  <c:v>298307.61</c:v>
                </c:pt>
                <c:pt idx="17">
                  <c:v>329027.65999999997</c:v>
                </c:pt>
                <c:pt idx="18">
                  <c:v>386106.74</c:v>
                </c:pt>
                <c:pt idx="19">
                  <c:v>390999.15</c:v>
                </c:pt>
                <c:pt idx="20">
                  <c:v>416176.21</c:v>
                </c:pt>
                <c:pt idx="21">
                  <c:v>431181.89</c:v>
                </c:pt>
                <c:pt idx="22">
                  <c:v>425062.76</c:v>
                </c:pt>
                <c:pt idx="23">
                  <c:v>504886.44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9-4EFD-AE27-7BB0A312E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429464"/>
        <c:axId val="481426840"/>
      </c:scatterChart>
      <c:valAx>
        <c:axId val="481429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26840"/>
        <c:crosses val="autoZero"/>
        <c:crossBetween val="midCat"/>
      </c:valAx>
      <c:valAx>
        <c:axId val="48142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29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>
                <a:effectLst/>
              </a:rPr>
              <a:t>Trend in Number of Banks Live on UPI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'Graphical Representation'!$B$59</c:f>
              <c:strCache>
                <c:ptCount val="1"/>
                <c:pt idx="0">
                  <c:v>Banks Live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'Graphical Representation'!$A$60:$A$83</c:f>
              <c:numCache>
                <c:formatCode>[$-409]d\-mmm\-yy;@</c:formatCode>
                <c:ptCount val="24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</c:numCache>
            </c:numRef>
          </c:xVal>
          <c:yVal>
            <c:numRef>
              <c:f>'Graphical Representation'!$B$60:$B$83</c:f>
              <c:numCache>
                <c:formatCode>General</c:formatCode>
                <c:ptCount val="24"/>
                <c:pt idx="0">
                  <c:v>144</c:v>
                </c:pt>
                <c:pt idx="1">
                  <c:v>146</c:v>
                </c:pt>
                <c:pt idx="2">
                  <c:v>142</c:v>
                </c:pt>
                <c:pt idx="3">
                  <c:v>143</c:v>
                </c:pt>
                <c:pt idx="4">
                  <c:v>141</c:v>
                </c:pt>
                <c:pt idx="5">
                  <c:v>141</c:v>
                </c:pt>
                <c:pt idx="6">
                  <c:v>141</c:v>
                </c:pt>
                <c:pt idx="7">
                  <c:v>143</c:v>
                </c:pt>
                <c:pt idx="8">
                  <c:v>143</c:v>
                </c:pt>
                <c:pt idx="9">
                  <c:v>144</c:v>
                </c:pt>
                <c:pt idx="10">
                  <c:v>146</c:v>
                </c:pt>
                <c:pt idx="11">
                  <c:v>148</c:v>
                </c:pt>
                <c:pt idx="12">
                  <c:v>153</c:v>
                </c:pt>
                <c:pt idx="13">
                  <c:v>155</c:v>
                </c:pt>
                <c:pt idx="14">
                  <c:v>155</c:v>
                </c:pt>
                <c:pt idx="15">
                  <c:v>164</c:v>
                </c:pt>
                <c:pt idx="16">
                  <c:v>168</c:v>
                </c:pt>
                <c:pt idx="17">
                  <c:v>174</c:v>
                </c:pt>
                <c:pt idx="18">
                  <c:v>189</c:v>
                </c:pt>
                <c:pt idx="19">
                  <c:v>200</c:v>
                </c:pt>
                <c:pt idx="20">
                  <c:v>207</c:v>
                </c:pt>
                <c:pt idx="21">
                  <c:v>207</c:v>
                </c:pt>
                <c:pt idx="22">
                  <c:v>213</c:v>
                </c:pt>
                <c:pt idx="23">
                  <c:v>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2E-4E3E-94CA-79385EA7A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416440"/>
        <c:axId val="486417424"/>
      </c:scatterChart>
      <c:valAx>
        <c:axId val="48641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\-yy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17424"/>
        <c:crosses val="autoZero"/>
        <c:crossBetween val="midCat"/>
      </c:valAx>
      <c:valAx>
        <c:axId val="4864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1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9524</xdr:rowOff>
    </xdr:from>
    <xdr:to>
      <xdr:col>3</xdr:col>
      <xdr:colOff>9524</xdr:colOff>
      <xdr:row>21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2</xdr:row>
      <xdr:rowOff>190499</xdr:rowOff>
    </xdr:from>
    <xdr:to>
      <xdr:col>10</xdr:col>
      <xdr:colOff>28574</xdr:colOff>
      <xdr:row>21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9524</xdr:colOff>
      <xdr:row>30</xdr:row>
      <xdr:rowOff>200024</xdr:rowOff>
    </xdr:from>
    <xdr:to>
      <xdr:col>9</xdr:col>
      <xdr:colOff>685799</xdr:colOff>
      <xdr:row>49</xdr:row>
      <xdr:rowOff>200024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681037</xdr:colOff>
      <xdr:row>59</xdr:row>
      <xdr:rowOff>9524</xdr:rowOff>
    </xdr:from>
    <xdr:to>
      <xdr:col>10</xdr:col>
      <xdr:colOff>9525</xdr:colOff>
      <xdr:row>76</xdr:row>
      <xdr:rowOff>200024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:G13" totalsRowShown="0" headerRowDxfId="30" dataDxfId="29">
  <autoFilter ref="A1:G13"/>
  <sortState ref="A2:G13">
    <sortCondition ref="A2:A13"/>
  </sortState>
  <tableColumns count="7">
    <tableColumn id="1" name="Month" dataDxfId="28"/>
    <tableColumn id="2" name="No. of Banks live on UPI" dataDxfId="27"/>
    <tableColumn id="3" name="Volume (In Mn.)" dataDxfId="26"/>
    <tableColumn id="4" name="Value (In Cr.)" dataDxfId="25"/>
    <tableColumn id="5" name="Period" dataDxfId="24"/>
    <tableColumn id="6" name="Vol Growth %" dataDxfId="23"/>
    <tableColumn id="7" name="Value Growth %" dataDxfId="2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G13" totalsRowShown="0" headerRowDxfId="21" dataDxfId="19" headerRowBorderDxfId="20" totalsRowBorderDxfId="18">
  <autoFilter ref="A1:G13"/>
  <sortState ref="A2:G13">
    <sortCondition ref="A2:A13"/>
  </sortState>
  <tableColumns count="7">
    <tableColumn id="1" name="Month" dataDxfId="17"/>
    <tableColumn id="2" name="No. of Banks live on UPI" dataDxfId="16"/>
    <tableColumn id="3" name="Volume (In Mn.)" dataDxfId="15"/>
    <tableColumn id="4" name="Value (In Cr.)" dataDxfId="14"/>
    <tableColumn id="5" name="Period" dataDxfId="13"/>
    <tableColumn id="6" name="Vol Growth %" dataDxfId="12"/>
    <tableColumn id="7" name="Value Growth %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G25" totalsRowShown="0" headerRowDxfId="10" dataDxfId="8" headerRowBorderDxfId="9" totalsRowBorderDxfId="7">
  <autoFilter ref="A1:G25"/>
  <sortState ref="A2:G25">
    <sortCondition ref="A2:A25"/>
  </sortState>
  <tableColumns count="7">
    <tableColumn id="1" name="Month" dataDxfId="6"/>
    <tableColumn id="2" name="No. of Banks live on UPI" dataDxfId="5"/>
    <tableColumn id="3" name="Volume (In Mn.)" dataDxfId="4"/>
    <tableColumn id="4" name="Value (In Cr.)" dataDxfId="3"/>
    <tableColumn id="5" name="Period" dataDxfId="2"/>
    <tableColumn id="6" name="Vol Growth %" dataDxfId="1"/>
    <tableColumn id="7" name="Value Growth 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pci.org.in/product/upi/product-statistic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E10" sqref="E10"/>
    </sheetView>
  </sheetViews>
  <sheetFormatPr defaultRowHeight="15.75" x14ac:dyDescent="0.25"/>
  <cols>
    <col min="1" max="1" width="6.75" customWidth="1"/>
    <col min="2" max="2" width="20.25" customWidth="1"/>
    <col min="3" max="3" width="29.25" customWidth="1"/>
  </cols>
  <sheetData>
    <row r="1" spans="1:5" x14ac:dyDescent="0.25">
      <c r="A1" s="46" t="s">
        <v>45</v>
      </c>
      <c r="B1" s="47"/>
      <c r="C1" s="47"/>
      <c r="D1" s="48"/>
    </row>
    <row r="2" spans="1:5" s="1" customFormat="1" x14ac:dyDescent="0.25">
      <c r="A2" s="49"/>
      <c r="B2" s="50"/>
      <c r="C2" s="50"/>
      <c r="D2" s="51"/>
    </row>
    <row r="3" spans="1:5" x14ac:dyDescent="0.25">
      <c r="A3" s="41"/>
      <c r="B3" s="42"/>
      <c r="C3" s="42"/>
      <c r="D3" s="43"/>
    </row>
    <row r="4" spans="1:5" x14ac:dyDescent="0.25">
      <c r="A4" s="57" t="s">
        <v>46</v>
      </c>
      <c r="B4" s="53"/>
      <c r="C4" s="52" t="s">
        <v>47</v>
      </c>
      <c r="D4" s="53"/>
    </row>
    <row r="5" spans="1:5" x14ac:dyDescent="0.25">
      <c r="A5" s="58" t="s">
        <v>48</v>
      </c>
      <c r="B5" s="59"/>
      <c r="C5" s="54" t="s">
        <v>56</v>
      </c>
      <c r="D5" s="55"/>
    </row>
    <row r="6" spans="1:5" x14ac:dyDescent="0.25">
      <c r="A6" s="60" t="s">
        <v>49</v>
      </c>
      <c r="B6" s="55"/>
      <c r="C6" s="54" t="s">
        <v>57</v>
      </c>
      <c r="D6" s="55"/>
    </row>
    <row r="7" spans="1:5" x14ac:dyDescent="0.25">
      <c r="A7" s="60" t="s">
        <v>50</v>
      </c>
      <c r="B7" s="55"/>
      <c r="C7" s="54" t="s">
        <v>51</v>
      </c>
      <c r="D7" s="55"/>
    </row>
    <row r="8" spans="1:5" x14ac:dyDescent="0.25">
      <c r="A8" s="60" t="s">
        <v>52</v>
      </c>
      <c r="B8" s="55"/>
      <c r="C8" s="54" t="s">
        <v>53</v>
      </c>
      <c r="D8" s="55"/>
    </row>
    <row r="9" spans="1:5" x14ac:dyDescent="0.25">
      <c r="A9" s="44" t="s">
        <v>54</v>
      </c>
      <c r="B9" s="45"/>
      <c r="C9" s="56" t="s">
        <v>58</v>
      </c>
      <c r="D9" s="45"/>
    </row>
    <row r="10" spans="1:5" x14ac:dyDescent="0.25">
      <c r="A10" s="41"/>
      <c r="B10" s="42"/>
      <c r="C10" s="42"/>
      <c r="D10" s="43"/>
    </row>
    <row r="11" spans="1:5" x14ac:dyDescent="0.25">
      <c r="A11" s="36" t="s">
        <v>55</v>
      </c>
      <c r="B11" s="37"/>
      <c r="C11" s="37"/>
      <c r="D11" s="38"/>
    </row>
    <row r="12" spans="1:5" x14ac:dyDescent="0.25">
      <c r="A12" s="32" t="s">
        <v>59</v>
      </c>
      <c r="B12" s="39" t="s">
        <v>60</v>
      </c>
      <c r="C12" s="39"/>
      <c r="D12" s="40"/>
    </row>
    <row r="15" spans="1:5" x14ac:dyDescent="0.25">
      <c r="E15" s="30"/>
    </row>
    <row r="17" spans="5:5" x14ac:dyDescent="0.25">
      <c r="E17" s="31"/>
    </row>
  </sheetData>
  <mergeCells count="17">
    <mergeCell ref="A1:D2"/>
    <mergeCell ref="C4:D4"/>
    <mergeCell ref="C5:D5"/>
    <mergeCell ref="C6:D6"/>
    <mergeCell ref="C7:D7"/>
    <mergeCell ref="A4:B4"/>
    <mergeCell ref="A5:B5"/>
    <mergeCell ref="A6:B6"/>
    <mergeCell ref="A7:B7"/>
    <mergeCell ref="A11:D11"/>
    <mergeCell ref="B12:D12"/>
    <mergeCell ref="A10:D10"/>
    <mergeCell ref="A3:D3"/>
    <mergeCell ref="A9:B9"/>
    <mergeCell ref="C8:D8"/>
    <mergeCell ref="C9:D9"/>
    <mergeCell ref="A8:B8"/>
  </mergeCells>
  <hyperlinks>
    <hyperlink ref="B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H18" sqref="H18"/>
    </sheetView>
  </sheetViews>
  <sheetFormatPr defaultRowHeight="15.75" x14ac:dyDescent="0.25"/>
  <cols>
    <col min="1" max="1" width="13.875" customWidth="1"/>
    <col min="2" max="2" width="23.125" customWidth="1"/>
    <col min="3" max="3" width="16.5" customWidth="1"/>
    <col min="4" max="4" width="14.5" customWidth="1"/>
    <col min="5" max="5" width="11.75" customWidth="1"/>
    <col min="6" max="6" width="14.5" customWidth="1"/>
    <col min="7" max="7" width="16.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23</v>
      </c>
      <c r="G1" s="1" t="s">
        <v>24</v>
      </c>
    </row>
    <row r="2" spans="1:7" x14ac:dyDescent="0.25">
      <c r="A2" s="5">
        <v>43556</v>
      </c>
      <c r="B2" s="6" t="s">
        <v>16</v>
      </c>
      <c r="C2" s="1">
        <v>781.79</v>
      </c>
      <c r="D2" s="6">
        <v>142034.39000000001</v>
      </c>
      <c r="E2" s="6" t="s">
        <v>21</v>
      </c>
      <c r="F2" s="13" t="s">
        <v>25</v>
      </c>
      <c r="G2" s="13" t="s">
        <v>25</v>
      </c>
    </row>
    <row r="3" spans="1:7" x14ac:dyDescent="0.25">
      <c r="A3" s="5">
        <v>43586</v>
      </c>
      <c r="B3" s="6" t="s">
        <v>17</v>
      </c>
      <c r="C3" s="1">
        <v>733.54</v>
      </c>
      <c r="D3" s="6">
        <v>152449.29</v>
      </c>
      <c r="E3" s="6" t="s">
        <v>21</v>
      </c>
      <c r="F3" s="14">
        <f>(Table2[[#This Row],[Volume (In Mn.)]]-C2)/C2*100</f>
        <v>-6.1717340973918828</v>
      </c>
      <c r="G3" s="14">
        <f>(Table2[[#This Row],[Value (In Cr.)]]-D2)/D2*100</f>
        <v>7.3326607732113276</v>
      </c>
    </row>
    <row r="4" spans="1:7" x14ac:dyDescent="0.25">
      <c r="A4" s="5">
        <v>43617</v>
      </c>
      <c r="B4" s="6" t="s">
        <v>19</v>
      </c>
      <c r="C4" s="1">
        <v>754.54</v>
      </c>
      <c r="D4" s="6">
        <v>146566.35</v>
      </c>
      <c r="E4" s="6" t="s">
        <v>21</v>
      </c>
      <c r="F4" s="13">
        <f>(Table2[[#This Row],[Volume (In Mn.)]]-C3)/C3*100</f>
        <v>2.8628295662131582</v>
      </c>
      <c r="G4" s="13">
        <f>(Table2[[#This Row],[Value (In Cr.)]]-D3)/D3*100</f>
        <v>-3.858948769128411</v>
      </c>
    </row>
    <row r="5" spans="1:7" x14ac:dyDescent="0.25">
      <c r="A5" s="5">
        <v>43647</v>
      </c>
      <c r="B5" s="6" t="s">
        <v>17</v>
      </c>
      <c r="C5" s="1">
        <v>822.29</v>
      </c>
      <c r="D5" s="6">
        <v>146386.64000000001</v>
      </c>
      <c r="E5" s="6" t="s">
        <v>21</v>
      </c>
      <c r="F5" s="14">
        <f>(Table2[[#This Row],[Volume (In Mn.)]]-C4)/C4*100</f>
        <v>8.9789805709438877</v>
      </c>
      <c r="G5" s="14">
        <f>(Table2[[#This Row],[Value (In Cr.)]]-D4)/D4*100</f>
        <v>-0.12261341024047596</v>
      </c>
    </row>
    <row r="6" spans="1:7" x14ac:dyDescent="0.25">
      <c r="A6" s="5">
        <v>43678</v>
      </c>
      <c r="B6" s="6" t="s">
        <v>18</v>
      </c>
      <c r="C6" s="1">
        <v>918.35</v>
      </c>
      <c r="D6" s="6">
        <v>154504.89000000001</v>
      </c>
      <c r="E6" s="6" t="s">
        <v>21</v>
      </c>
      <c r="F6" s="13">
        <f>(Table2[[#This Row],[Volume (In Mn.)]]-C5)/C5*100</f>
        <v>11.682009996473271</v>
      </c>
      <c r="G6" s="13">
        <f>(Table2[[#This Row],[Value (In Cr.)]]-D5)/D5*100</f>
        <v>5.5457588206136839</v>
      </c>
    </row>
    <row r="7" spans="1:7" x14ac:dyDescent="0.25">
      <c r="A7" s="5">
        <v>43709</v>
      </c>
      <c r="B7" s="6" t="s">
        <v>18</v>
      </c>
      <c r="C7" s="1">
        <v>955.02</v>
      </c>
      <c r="D7" s="6">
        <v>161456.56</v>
      </c>
      <c r="E7" s="6" t="s">
        <v>21</v>
      </c>
      <c r="F7" s="14">
        <f>(Table2[[#This Row],[Volume (In Mn.)]]-C6)/C6*100</f>
        <v>3.9930309794740522</v>
      </c>
      <c r="G7" s="14">
        <f>(Table2[[#This Row],[Value (In Cr.)]]-D6)/D6*100</f>
        <v>4.4993203774974262</v>
      </c>
    </row>
    <row r="8" spans="1:7" x14ac:dyDescent="0.25">
      <c r="A8" s="5">
        <v>43739</v>
      </c>
      <c r="B8" s="6" t="s">
        <v>18</v>
      </c>
      <c r="C8" s="1">
        <v>1148.3599999999999</v>
      </c>
      <c r="D8" s="6">
        <v>191359.94</v>
      </c>
      <c r="E8" s="6" t="s">
        <v>21</v>
      </c>
      <c r="F8" s="13">
        <f>(Table2[[#This Row],[Volume (In Mn.)]]-C7)/C7*100</f>
        <v>20.244602207283609</v>
      </c>
      <c r="G8" s="13">
        <f>(Table2[[#This Row],[Value (In Cr.)]]-D7)/D7*100</f>
        <v>18.521006517170939</v>
      </c>
    </row>
    <row r="9" spans="1:7" x14ac:dyDescent="0.25">
      <c r="A9" s="5">
        <v>43770</v>
      </c>
      <c r="B9" s="6" t="s">
        <v>17</v>
      </c>
      <c r="C9" s="1">
        <v>1218.77</v>
      </c>
      <c r="D9" s="6">
        <v>189229.09</v>
      </c>
      <c r="E9" s="6" t="s">
        <v>21</v>
      </c>
      <c r="F9" s="14">
        <f>(Table2[[#This Row],[Volume (In Mn.)]]-C8)/C8*100</f>
        <v>6.1313525375317921</v>
      </c>
      <c r="G9" s="14">
        <f>(Table2[[#This Row],[Value (In Cr.)]]-D8)/D8*100</f>
        <v>-1.1135298223860259</v>
      </c>
    </row>
    <row r="10" spans="1:7" x14ac:dyDescent="0.25">
      <c r="A10" s="5">
        <v>43800</v>
      </c>
      <c r="B10" s="6" t="s">
        <v>17</v>
      </c>
      <c r="C10" s="1">
        <v>1308.4000000000001</v>
      </c>
      <c r="D10" s="6">
        <v>202520.76</v>
      </c>
      <c r="E10" s="6" t="s">
        <v>21</v>
      </c>
      <c r="F10" s="13">
        <f>(Table2[[#This Row],[Volume (In Mn.)]]-C9)/C9*100</f>
        <v>7.3541357270034631</v>
      </c>
      <c r="G10" s="13">
        <f>(Table2[[#This Row],[Value (In Cr.)]]-D9)/D9*100</f>
        <v>7.0241155839200058</v>
      </c>
    </row>
    <row r="11" spans="1:7" x14ac:dyDescent="0.25">
      <c r="A11" s="5">
        <v>43831</v>
      </c>
      <c r="B11" s="6" t="s">
        <v>16</v>
      </c>
      <c r="C11" s="1">
        <v>1305.02</v>
      </c>
      <c r="D11" s="6">
        <v>216242.97</v>
      </c>
      <c r="E11" s="6" t="s">
        <v>21</v>
      </c>
      <c r="F11" s="14">
        <f>(Table2[[#This Row],[Volume (In Mn.)]]-C10)/C10*100</f>
        <v>-0.2583307856924571</v>
      </c>
      <c r="G11" s="14">
        <f>(Table2[[#This Row],[Value (In Cr.)]]-D10)/D10*100</f>
        <v>6.7757053647240859</v>
      </c>
    </row>
    <row r="12" spans="1:7" x14ac:dyDescent="0.25">
      <c r="A12" s="5">
        <v>43862</v>
      </c>
      <c r="B12" s="6" t="s">
        <v>15</v>
      </c>
      <c r="C12" s="1">
        <v>1325.69</v>
      </c>
      <c r="D12" s="6">
        <v>222516.95</v>
      </c>
      <c r="E12" s="6" t="s">
        <v>21</v>
      </c>
      <c r="F12" s="16">
        <f>(Table2[[#This Row],[Volume (In Mn.)]]-C11)/C11*100</f>
        <v>1.5838837718962218</v>
      </c>
      <c r="G12" s="16">
        <f>(Table2[[#This Row],[Value (In Cr.)]]-D11)/D11*100</f>
        <v>2.9013567469962194</v>
      </c>
    </row>
    <row r="13" spans="1:7" x14ac:dyDescent="0.25">
      <c r="A13" s="5">
        <v>43891</v>
      </c>
      <c r="B13" s="6" t="s">
        <v>14</v>
      </c>
      <c r="C13" s="1">
        <v>1246.8399999999999</v>
      </c>
      <c r="D13" s="6">
        <v>206462.31</v>
      </c>
      <c r="E13" s="6" t="s">
        <v>21</v>
      </c>
      <c r="F13" s="14">
        <f>(Table2[[#This Row],[Volume (In Mn.)]]-C12)/C12*100</f>
        <v>-5.9478460273518046</v>
      </c>
      <c r="G13" s="14">
        <f>(Table2[[#This Row],[Value (In Cr.)]]-D12)/D12*100</f>
        <v>-7.2150189008073378</v>
      </c>
    </row>
    <row r="15" spans="1:7" x14ac:dyDescent="0.25">
      <c r="D15" s="1"/>
    </row>
    <row r="16" spans="1:7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E16" sqref="E16"/>
    </sheetView>
  </sheetViews>
  <sheetFormatPr defaultRowHeight="15.75" x14ac:dyDescent="0.25"/>
  <cols>
    <col min="1" max="1" width="12.125" customWidth="1"/>
    <col min="2" max="2" width="19.625" customWidth="1"/>
    <col min="3" max="3" width="16.5" customWidth="1"/>
    <col min="4" max="4" width="15.5" customWidth="1"/>
    <col min="5" max="5" width="11.5" customWidth="1"/>
    <col min="6" max="6" width="14.5" customWidth="1"/>
    <col min="7" max="7" width="16.5" customWidth="1"/>
  </cols>
  <sheetData>
    <row r="1" spans="1:7" ht="16.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20</v>
      </c>
      <c r="F1" s="3" t="s">
        <v>23</v>
      </c>
      <c r="G1" s="4" t="s">
        <v>24</v>
      </c>
    </row>
    <row r="2" spans="1:7" ht="16.5" thickTop="1" x14ac:dyDescent="0.25">
      <c r="A2" s="9">
        <v>43922</v>
      </c>
      <c r="B2" s="10" t="s">
        <v>13</v>
      </c>
      <c r="C2" s="1">
        <v>999.57</v>
      </c>
      <c r="D2" s="10">
        <v>151140.66</v>
      </c>
      <c r="E2" s="10" t="s">
        <v>22</v>
      </c>
      <c r="F2" s="10" t="s">
        <v>25</v>
      </c>
      <c r="G2" s="10" t="s">
        <v>25</v>
      </c>
    </row>
    <row r="3" spans="1:7" x14ac:dyDescent="0.25">
      <c r="A3" s="7">
        <v>43952</v>
      </c>
      <c r="B3" s="8" t="s">
        <v>12</v>
      </c>
      <c r="C3" s="1">
        <v>1234.5</v>
      </c>
      <c r="D3" s="8">
        <v>218391.6</v>
      </c>
      <c r="E3" s="8" t="s">
        <v>22</v>
      </c>
      <c r="F3" s="13">
        <f>(Table3[[#This Row],[Volume (In Mn.)]]-C2)/C2*100</f>
        <v>23.503106335724354</v>
      </c>
      <c r="G3" s="13">
        <f>(Table3[[#This Row],[Value (In Cr.)]]-D2)/D2*100</f>
        <v>44.495597677024833</v>
      </c>
    </row>
    <row r="4" spans="1:7" x14ac:dyDescent="0.25">
      <c r="A4" s="9">
        <v>43983</v>
      </c>
      <c r="B4" s="10" t="s">
        <v>12</v>
      </c>
      <c r="C4" s="1">
        <v>1336.93</v>
      </c>
      <c r="D4" s="10">
        <v>261835</v>
      </c>
      <c r="E4" s="10" t="s">
        <v>22</v>
      </c>
      <c r="F4" s="14">
        <f>(Table3[[#This Row],[Volume (In Mn.)]]-C3)/C3*100</f>
        <v>8.297286350749296</v>
      </c>
      <c r="G4" s="14">
        <f>(Table3[[#This Row],[Value (In Cr.)]]-D3)/D3*100</f>
        <v>19.892431760195901</v>
      </c>
    </row>
    <row r="5" spans="1:7" x14ac:dyDescent="0.25">
      <c r="A5" s="7">
        <v>44013</v>
      </c>
      <c r="B5" s="8" t="s">
        <v>11</v>
      </c>
      <c r="C5" s="1">
        <v>1497.36</v>
      </c>
      <c r="D5" s="8">
        <v>290537.86</v>
      </c>
      <c r="E5" s="8" t="s">
        <v>22</v>
      </c>
      <c r="F5" s="13">
        <f>(Table3[[#This Row],[Volume (In Mn.)]]-C4)/C4*100</f>
        <v>11.999880322829155</v>
      </c>
      <c r="G5" s="13">
        <f>(Table3[[#This Row],[Value (In Cr.)]]-D4)/D4*100</f>
        <v>10.962193747971046</v>
      </c>
    </row>
    <row r="6" spans="1:7" x14ac:dyDescent="0.25">
      <c r="A6" s="9">
        <v>44044</v>
      </c>
      <c r="B6" s="10" t="s">
        <v>10</v>
      </c>
      <c r="C6" s="1">
        <v>1618.83</v>
      </c>
      <c r="D6" s="10">
        <v>298307.61</v>
      </c>
      <c r="E6" s="10" t="s">
        <v>22</v>
      </c>
      <c r="F6" s="14">
        <f>(Table3[[#This Row],[Volume (In Mn.)]]-C5)/C5*100</f>
        <v>8.112277608591123</v>
      </c>
      <c r="G6" s="14">
        <f>(Table3[[#This Row],[Value (In Cr.)]]-D5)/D5*100</f>
        <v>2.6742642077696863</v>
      </c>
    </row>
    <row r="7" spans="1:7" x14ac:dyDescent="0.25">
      <c r="A7" s="7">
        <v>44075</v>
      </c>
      <c r="B7" s="8" t="s">
        <v>9</v>
      </c>
      <c r="C7" s="1">
        <v>1800.14</v>
      </c>
      <c r="D7" s="8">
        <v>329027.65999999997</v>
      </c>
      <c r="E7" s="8" t="s">
        <v>22</v>
      </c>
      <c r="F7" s="13">
        <f>(Table3[[#This Row],[Volume (In Mn.)]]-C6)/C6*100</f>
        <v>11.200064243929269</v>
      </c>
      <c r="G7" s="13">
        <f>(Table3[[#This Row],[Value (In Cr.)]]-D6)/D6*100</f>
        <v>10.298111402521709</v>
      </c>
    </row>
    <row r="8" spans="1:7" x14ac:dyDescent="0.25">
      <c r="A8" s="9">
        <v>44105</v>
      </c>
      <c r="B8" s="10" t="s">
        <v>8</v>
      </c>
      <c r="C8" s="1">
        <v>2071.62</v>
      </c>
      <c r="D8" s="10">
        <v>386106.74</v>
      </c>
      <c r="E8" s="10" t="s">
        <v>22</v>
      </c>
      <c r="F8" s="14">
        <f>(Table3[[#This Row],[Volume (In Mn.)]]-C7)/C7*100</f>
        <v>15.081049251724854</v>
      </c>
      <c r="G8" s="14">
        <f>(Table3[[#This Row],[Value (In Cr.)]]-D7)/D7*100</f>
        <v>17.347805956496188</v>
      </c>
    </row>
    <row r="9" spans="1:7" x14ac:dyDescent="0.25">
      <c r="A9" s="7">
        <v>44136</v>
      </c>
      <c r="B9" s="8" t="s">
        <v>7</v>
      </c>
      <c r="C9" s="1">
        <v>2210.23</v>
      </c>
      <c r="D9" s="8">
        <v>390999.15</v>
      </c>
      <c r="E9" s="8" t="s">
        <v>22</v>
      </c>
      <c r="F9" s="13">
        <f>(Table3[[#This Row],[Volume (In Mn.)]]-C8)/C8*100</f>
        <v>6.6908989100317688</v>
      </c>
      <c r="G9" s="13">
        <f>(Table3[[#This Row],[Value (In Cr.)]]-D8)/D8*100</f>
        <v>1.2671133376226564</v>
      </c>
    </row>
    <row r="10" spans="1:7" x14ac:dyDescent="0.25">
      <c r="A10" s="9">
        <v>44166</v>
      </c>
      <c r="B10" s="10" t="s">
        <v>6</v>
      </c>
      <c r="C10" s="1">
        <v>2234.16</v>
      </c>
      <c r="D10" s="10">
        <v>416176.21</v>
      </c>
      <c r="E10" s="10" t="s">
        <v>22</v>
      </c>
      <c r="F10" s="14">
        <f>(Table3[[#This Row],[Volume (In Mn.)]]-C9)/C9*100</f>
        <v>1.0826927514331013</v>
      </c>
      <c r="G10" s="14">
        <f>(Table3[[#This Row],[Value (In Cr.)]]-D9)/D9*100</f>
        <v>6.4391597782245809</v>
      </c>
    </row>
    <row r="11" spans="1:7" x14ac:dyDescent="0.25">
      <c r="A11" s="7">
        <v>44197</v>
      </c>
      <c r="B11" s="8" t="s">
        <v>6</v>
      </c>
      <c r="C11" s="1">
        <v>2302.73</v>
      </c>
      <c r="D11" s="8">
        <v>431181.89</v>
      </c>
      <c r="E11" s="8" t="s">
        <v>22</v>
      </c>
      <c r="F11" s="13">
        <f>(Table3[[#This Row],[Volume (In Mn.)]]-C10)/C10*100</f>
        <v>3.0691624592688158</v>
      </c>
      <c r="G11" s="13">
        <f>(Table3[[#This Row],[Value (In Cr.)]]-D10)/D10*100</f>
        <v>3.6056073459845273</v>
      </c>
    </row>
    <row r="12" spans="1:7" x14ac:dyDescent="0.25">
      <c r="A12" s="9">
        <v>44228</v>
      </c>
      <c r="B12" s="10" t="s">
        <v>5</v>
      </c>
      <c r="C12" s="1">
        <v>2292.9</v>
      </c>
      <c r="D12" s="10">
        <v>425062.76</v>
      </c>
      <c r="E12" s="10" t="s">
        <v>22</v>
      </c>
      <c r="F12" s="14">
        <f>(Table3[[#This Row],[Volume (In Mn.)]]-C11)/C11*100</f>
        <v>-0.4268846108749148</v>
      </c>
      <c r="G12" s="14">
        <f>(Table3[[#This Row],[Value (In Cr.)]]-D11)/D11*100</f>
        <v>-1.4191528313028186</v>
      </c>
    </row>
    <row r="13" spans="1:7" x14ac:dyDescent="0.25">
      <c r="A13" s="11">
        <v>44256</v>
      </c>
      <c r="B13" s="12" t="s">
        <v>4</v>
      </c>
      <c r="C13" s="1">
        <v>2731.68</v>
      </c>
      <c r="D13" s="12">
        <v>504886.44</v>
      </c>
      <c r="E13" s="12" t="s">
        <v>22</v>
      </c>
      <c r="F13" s="16">
        <f>(Table3[[#This Row],[Volume (In Mn.)]]-C12)/C12*100</f>
        <v>19.13646473897683</v>
      </c>
      <c r="G13" s="16">
        <f>(Table3[[#This Row],[Value (In Cr.)]]-D12)/D12*100</f>
        <v>18.779269207210717</v>
      </c>
    </row>
    <row r="15" spans="1:7" x14ac:dyDescent="0.25">
      <c r="D15" s="1"/>
    </row>
    <row r="16" spans="1:7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E18" sqref="E18"/>
    </sheetView>
  </sheetViews>
  <sheetFormatPr defaultRowHeight="15.75" x14ac:dyDescent="0.25"/>
  <cols>
    <col min="1" max="1" width="14.25" bestFit="1" customWidth="1"/>
    <col min="2" max="2" width="23.125" customWidth="1"/>
    <col min="3" max="3" width="16.5" customWidth="1"/>
    <col min="4" max="4" width="14.5" customWidth="1"/>
    <col min="5" max="5" width="12.375" customWidth="1"/>
    <col min="6" max="6" width="15" customWidth="1"/>
    <col min="7" max="7" width="16.5" customWidth="1"/>
  </cols>
  <sheetData>
    <row r="1" spans="1:7" ht="16.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20</v>
      </c>
      <c r="F1" s="3" t="s">
        <v>23</v>
      </c>
      <c r="G1" s="4" t="s">
        <v>24</v>
      </c>
    </row>
    <row r="2" spans="1:7" ht="16.5" thickTop="1" x14ac:dyDescent="0.25">
      <c r="A2" s="5">
        <v>43556</v>
      </c>
      <c r="B2" s="1">
        <v>144</v>
      </c>
      <c r="C2" s="1">
        <v>781.79</v>
      </c>
      <c r="D2" s="6">
        <v>142034.39000000001</v>
      </c>
      <c r="E2" s="6" t="s">
        <v>21</v>
      </c>
      <c r="F2" s="6" t="s">
        <v>25</v>
      </c>
      <c r="G2" s="6" t="s">
        <v>25</v>
      </c>
    </row>
    <row r="3" spans="1:7" x14ac:dyDescent="0.25">
      <c r="A3" s="5">
        <v>43586</v>
      </c>
      <c r="B3" s="1">
        <v>146</v>
      </c>
      <c r="C3" s="1">
        <v>733.54</v>
      </c>
      <c r="D3" s="6">
        <v>152449.29</v>
      </c>
      <c r="E3" s="6" t="s">
        <v>21</v>
      </c>
      <c r="F3" s="15">
        <f>(Table4[[#This Row],[Volume (In Mn.)]]-C2)/C2*100</f>
        <v>-6.1717340973918828</v>
      </c>
      <c r="G3" s="15">
        <f>(Table4[[#This Row],[Value (In Cr.)]]-D2)/D2*100</f>
        <v>7.3326607732113276</v>
      </c>
    </row>
    <row r="4" spans="1:7" x14ac:dyDescent="0.25">
      <c r="A4" s="5">
        <v>43617</v>
      </c>
      <c r="B4" s="1">
        <v>142</v>
      </c>
      <c r="C4" s="1">
        <v>754.54</v>
      </c>
      <c r="D4" s="6">
        <v>146566.35</v>
      </c>
      <c r="E4" s="6" t="s">
        <v>21</v>
      </c>
      <c r="F4" s="15">
        <f>(Table4[[#This Row],[Volume (In Mn.)]]-C3)/C3*100</f>
        <v>2.8628295662131582</v>
      </c>
      <c r="G4" s="15">
        <f>(Table4[[#This Row],[Value (In Cr.)]]-D3)/D3*100</f>
        <v>-3.858948769128411</v>
      </c>
    </row>
    <row r="5" spans="1:7" x14ac:dyDescent="0.25">
      <c r="A5" s="5">
        <v>43647</v>
      </c>
      <c r="B5" s="1">
        <v>143</v>
      </c>
      <c r="C5" s="1">
        <v>822.29</v>
      </c>
      <c r="D5" s="6">
        <v>146386.64000000001</v>
      </c>
      <c r="E5" s="6" t="s">
        <v>21</v>
      </c>
      <c r="F5" s="15">
        <f>(Table4[[#This Row],[Volume (In Mn.)]]-C4)/C4*100</f>
        <v>8.9789805709438877</v>
      </c>
      <c r="G5" s="15">
        <f>(Table4[[#This Row],[Value (In Cr.)]]-D4)/D4*100</f>
        <v>-0.12261341024047596</v>
      </c>
    </row>
    <row r="6" spans="1:7" x14ac:dyDescent="0.25">
      <c r="A6" s="5">
        <v>43678</v>
      </c>
      <c r="B6" s="1">
        <v>141</v>
      </c>
      <c r="C6" s="1">
        <v>918.35</v>
      </c>
      <c r="D6" s="6">
        <v>154504.89000000001</v>
      </c>
      <c r="E6" s="6" t="s">
        <v>21</v>
      </c>
      <c r="F6" s="15">
        <f>(Table4[[#This Row],[Volume (In Mn.)]]-C5)/C5*100</f>
        <v>11.682009996473271</v>
      </c>
      <c r="G6" s="15">
        <f>(Table4[[#This Row],[Value (In Cr.)]]-D5)/D5*100</f>
        <v>5.5457588206136839</v>
      </c>
    </row>
    <row r="7" spans="1:7" x14ac:dyDescent="0.25">
      <c r="A7" s="5">
        <v>43709</v>
      </c>
      <c r="B7" s="1">
        <v>141</v>
      </c>
      <c r="C7" s="1">
        <v>955.02</v>
      </c>
      <c r="D7" s="6">
        <v>161456.56</v>
      </c>
      <c r="E7" s="6" t="s">
        <v>21</v>
      </c>
      <c r="F7" s="15">
        <f>(Table4[[#This Row],[Volume (In Mn.)]]-C6)/C6*100</f>
        <v>3.9930309794740522</v>
      </c>
      <c r="G7" s="15">
        <f>(Table4[[#This Row],[Value (In Cr.)]]-D6)/D6*100</f>
        <v>4.4993203774974262</v>
      </c>
    </row>
    <row r="8" spans="1:7" x14ac:dyDescent="0.25">
      <c r="A8" s="5">
        <v>43739</v>
      </c>
      <c r="B8" s="1">
        <v>141</v>
      </c>
      <c r="C8" s="1">
        <v>1148.3599999999999</v>
      </c>
      <c r="D8" s="6">
        <v>191359.94</v>
      </c>
      <c r="E8" s="6" t="s">
        <v>21</v>
      </c>
      <c r="F8" s="15">
        <f>(Table4[[#This Row],[Volume (In Mn.)]]-C7)/C7*100</f>
        <v>20.244602207283609</v>
      </c>
      <c r="G8" s="15">
        <f>(Table4[[#This Row],[Value (In Cr.)]]-D7)/D7*100</f>
        <v>18.521006517170939</v>
      </c>
    </row>
    <row r="9" spans="1:7" x14ac:dyDescent="0.25">
      <c r="A9" s="5">
        <v>43770</v>
      </c>
      <c r="B9" s="1">
        <v>143</v>
      </c>
      <c r="C9" s="1">
        <v>1218.77</v>
      </c>
      <c r="D9" s="6">
        <v>189229.09</v>
      </c>
      <c r="E9" s="6" t="s">
        <v>21</v>
      </c>
      <c r="F9" s="15">
        <f>(Table4[[#This Row],[Volume (In Mn.)]]-C8)/C8*100</f>
        <v>6.1313525375317921</v>
      </c>
      <c r="G9" s="15">
        <f>(Table4[[#This Row],[Value (In Cr.)]]-D8)/D8*100</f>
        <v>-1.1135298223860259</v>
      </c>
    </row>
    <row r="10" spans="1:7" x14ac:dyDescent="0.25">
      <c r="A10" s="5">
        <v>43800</v>
      </c>
      <c r="B10" s="1">
        <v>143</v>
      </c>
      <c r="C10" s="1">
        <v>1308.4000000000001</v>
      </c>
      <c r="D10" s="6">
        <v>202520.76</v>
      </c>
      <c r="E10" s="6" t="s">
        <v>21</v>
      </c>
      <c r="F10" s="15">
        <f>(Table4[[#This Row],[Volume (In Mn.)]]-C9)/C9*100</f>
        <v>7.3541357270034631</v>
      </c>
      <c r="G10" s="15">
        <f>(Table4[[#This Row],[Value (In Cr.)]]-D9)/D9*100</f>
        <v>7.0241155839200058</v>
      </c>
    </row>
    <row r="11" spans="1:7" x14ac:dyDescent="0.25">
      <c r="A11" s="5">
        <v>43831</v>
      </c>
      <c r="B11" s="1">
        <v>144</v>
      </c>
      <c r="C11" s="1">
        <v>1305.02</v>
      </c>
      <c r="D11" s="6">
        <v>216242.97</v>
      </c>
      <c r="E11" s="6" t="s">
        <v>21</v>
      </c>
      <c r="F11" s="15">
        <f>(Table4[[#This Row],[Volume (In Mn.)]]-C10)/C10*100</f>
        <v>-0.2583307856924571</v>
      </c>
      <c r="G11" s="15">
        <f>(Table4[[#This Row],[Value (In Cr.)]]-D10)/D10*100</f>
        <v>6.7757053647240859</v>
      </c>
    </row>
    <row r="12" spans="1:7" x14ac:dyDescent="0.25">
      <c r="A12" s="5">
        <v>43862</v>
      </c>
      <c r="B12" s="1">
        <v>146</v>
      </c>
      <c r="C12" s="1">
        <v>1325.69</v>
      </c>
      <c r="D12" s="6">
        <v>222516.95</v>
      </c>
      <c r="E12" s="6" t="s">
        <v>21</v>
      </c>
      <c r="F12" s="15">
        <f>(Table4[[#This Row],[Volume (In Mn.)]]-C11)/C11*100</f>
        <v>1.5838837718962218</v>
      </c>
      <c r="G12" s="15">
        <f>(Table4[[#This Row],[Value (In Cr.)]]-D11)/D11*100</f>
        <v>2.9013567469962194</v>
      </c>
    </row>
    <row r="13" spans="1:7" x14ac:dyDescent="0.25">
      <c r="A13" s="5">
        <v>43891</v>
      </c>
      <c r="B13" s="1">
        <v>148</v>
      </c>
      <c r="C13" s="1">
        <v>1246.8399999999999</v>
      </c>
      <c r="D13" s="6">
        <v>206462.31</v>
      </c>
      <c r="E13" s="6" t="s">
        <v>21</v>
      </c>
      <c r="F13" s="15">
        <f>(Table4[[#This Row],[Volume (In Mn.)]]-C12)/C12*100</f>
        <v>-5.9478460273518046</v>
      </c>
      <c r="G13" s="15">
        <f>(Table4[[#This Row],[Value (In Cr.)]]-D12)/D12*100</f>
        <v>-7.2150189008073378</v>
      </c>
    </row>
    <row r="14" spans="1:7" x14ac:dyDescent="0.25">
      <c r="A14" s="9">
        <v>43922</v>
      </c>
      <c r="B14" s="1">
        <v>153</v>
      </c>
      <c r="C14" s="1">
        <v>999.57</v>
      </c>
      <c r="D14" s="10">
        <v>151140.66</v>
      </c>
      <c r="E14" s="10" t="s">
        <v>22</v>
      </c>
      <c r="F14" s="10" t="s">
        <v>25</v>
      </c>
      <c r="G14" s="10" t="s">
        <v>25</v>
      </c>
    </row>
    <row r="15" spans="1:7" x14ac:dyDescent="0.25">
      <c r="A15" s="7">
        <v>43952</v>
      </c>
      <c r="B15" s="1">
        <v>155</v>
      </c>
      <c r="C15" s="1">
        <v>1234.5</v>
      </c>
      <c r="D15" s="8">
        <v>218391.6</v>
      </c>
      <c r="E15" s="8" t="s">
        <v>22</v>
      </c>
      <c r="F15" s="13">
        <f>(Table4[[#This Row],[Volume (In Mn.)]]-C14)/C14*100</f>
        <v>23.503106335724354</v>
      </c>
      <c r="G15" s="13">
        <f>(Table4[[#This Row],[Value (In Cr.)]]-D14)/D14*100</f>
        <v>44.495597677024833</v>
      </c>
    </row>
    <row r="16" spans="1:7" x14ac:dyDescent="0.25">
      <c r="A16" s="9">
        <v>43983</v>
      </c>
      <c r="B16" s="1">
        <v>155</v>
      </c>
      <c r="C16" s="1">
        <v>1336.93</v>
      </c>
      <c r="D16" s="10">
        <v>261835</v>
      </c>
      <c r="E16" s="10" t="s">
        <v>22</v>
      </c>
      <c r="F16" s="14">
        <f>(Table4[[#This Row],[Volume (In Mn.)]]-C15)/C15*100</f>
        <v>8.297286350749296</v>
      </c>
      <c r="G16" s="14">
        <f>(Table4[[#This Row],[Value (In Cr.)]]-D15)/D15*100</f>
        <v>19.892431760195901</v>
      </c>
    </row>
    <row r="17" spans="1:7" x14ac:dyDescent="0.25">
      <c r="A17" s="7">
        <v>44013</v>
      </c>
      <c r="B17" s="1">
        <v>164</v>
      </c>
      <c r="C17" s="1">
        <v>1497.36</v>
      </c>
      <c r="D17" s="8">
        <v>290537.86</v>
      </c>
      <c r="E17" s="8" t="s">
        <v>22</v>
      </c>
      <c r="F17" s="13">
        <f>(Table4[[#This Row],[Volume (In Mn.)]]-C16)/C16*100</f>
        <v>11.999880322829155</v>
      </c>
      <c r="G17" s="13">
        <f>(Table4[[#This Row],[Value (In Cr.)]]-D16)/D16*100</f>
        <v>10.962193747971046</v>
      </c>
    </row>
    <row r="18" spans="1:7" x14ac:dyDescent="0.25">
      <c r="A18" s="9">
        <v>44044</v>
      </c>
      <c r="B18" s="1">
        <v>168</v>
      </c>
      <c r="C18" s="1">
        <v>1618.83</v>
      </c>
      <c r="D18" s="10">
        <v>298307.61</v>
      </c>
      <c r="E18" s="10" t="s">
        <v>22</v>
      </c>
      <c r="F18" s="14">
        <f>(Table4[[#This Row],[Volume (In Mn.)]]-C17)/C17*100</f>
        <v>8.112277608591123</v>
      </c>
      <c r="G18" s="14">
        <f>(Table4[[#This Row],[Value (In Cr.)]]-D17)/D17*100</f>
        <v>2.6742642077696863</v>
      </c>
    </row>
    <row r="19" spans="1:7" x14ac:dyDescent="0.25">
      <c r="A19" s="7">
        <v>44075</v>
      </c>
      <c r="B19" s="1">
        <v>174</v>
      </c>
      <c r="C19" s="1">
        <v>1800.14</v>
      </c>
      <c r="D19" s="8">
        <v>329027.65999999997</v>
      </c>
      <c r="E19" s="8" t="s">
        <v>22</v>
      </c>
      <c r="F19" s="13">
        <f>(Table4[[#This Row],[Volume (In Mn.)]]-C18)/C18*100</f>
        <v>11.200064243929269</v>
      </c>
      <c r="G19" s="13">
        <f>(Table4[[#This Row],[Value (In Cr.)]]-D18)/D18*100</f>
        <v>10.298111402521709</v>
      </c>
    </row>
    <row r="20" spans="1:7" x14ac:dyDescent="0.25">
      <c r="A20" s="9">
        <v>44105</v>
      </c>
      <c r="B20" s="1">
        <v>189</v>
      </c>
      <c r="C20" s="1">
        <v>2071.62</v>
      </c>
      <c r="D20" s="10">
        <v>386106.74</v>
      </c>
      <c r="E20" s="10" t="s">
        <v>22</v>
      </c>
      <c r="F20" s="14">
        <f>(Table4[[#This Row],[Volume (In Mn.)]]-C19)/C19*100</f>
        <v>15.081049251724854</v>
      </c>
      <c r="G20" s="14">
        <f>(Table4[[#This Row],[Value (In Cr.)]]-D19)/D19*100</f>
        <v>17.347805956496188</v>
      </c>
    </row>
    <row r="21" spans="1:7" x14ac:dyDescent="0.25">
      <c r="A21" s="7">
        <v>44136</v>
      </c>
      <c r="B21" s="1">
        <v>200</v>
      </c>
      <c r="C21" s="1">
        <v>2210.23</v>
      </c>
      <c r="D21" s="8">
        <v>390999.15</v>
      </c>
      <c r="E21" s="8" t="s">
        <v>22</v>
      </c>
      <c r="F21" s="13">
        <f>(Table4[[#This Row],[Volume (In Mn.)]]-C20)/C20*100</f>
        <v>6.6908989100317688</v>
      </c>
      <c r="G21" s="13">
        <f>(Table4[[#This Row],[Value (In Cr.)]]-D20)/D20*100</f>
        <v>1.2671133376226564</v>
      </c>
    </row>
    <row r="22" spans="1:7" x14ac:dyDescent="0.25">
      <c r="A22" s="9">
        <v>44166</v>
      </c>
      <c r="B22" s="1">
        <v>207</v>
      </c>
      <c r="C22" s="1">
        <v>2234.16</v>
      </c>
      <c r="D22" s="10">
        <v>416176.21</v>
      </c>
      <c r="E22" s="10" t="s">
        <v>22</v>
      </c>
      <c r="F22" s="14">
        <f>(Table4[[#This Row],[Volume (In Mn.)]]-C21)/C21*100</f>
        <v>1.0826927514331013</v>
      </c>
      <c r="G22" s="14">
        <f>(Table4[[#This Row],[Value (In Cr.)]]-D21)/D21*100</f>
        <v>6.4391597782245809</v>
      </c>
    </row>
    <row r="23" spans="1:7" x14ac:dyDescent="0.25">
      <c r="A23" s="7">
        <v>44197</v>
      </c>
      <c r="B23" s="1">
        <v>207</v>
      </c>
      <c r="C23" s="1">
        <v>2302.73</v>
      </c>
      <c r="D23" s="8">
        <v>431181.89</v>
      </c>
      <c r="E23" s="8" t="s">
        <v>22</v>
      </c>
      <c r="F23" s="13">
        <f>(Table4[[#This Row],[Volume (In Mn.)]]-C22)/C22*100</f>
        <v>3.0691624592688158</v>
      </c>
      <c r="G23" s="13">
        <f>(Table4[[#This Row],[Value (In Cr.)]]-D22)/D22*100</f>
        <v>3.6056073459845273</v>
      </c>
    </row>
    <row r="24" spans="1:7" x14ac:dyDescent="0.25">
      <c r="A24" s="9">
        <v>44228</v>
      </c>
      <c r="B24" s="1">
        <v>213</v>
      </c>
      <c r="C24" s="1">
        <v>2292.9</v>
      </c>
      <c r="D24" s="10">
        <v>425062.76</v>
      </c>
      <c r="E24" s="10" t="s">
        <v>22</v>
      </c>
      <c r="F24" s="14">
        <f>(Table4[[#This Row],[Volume (In Mn.)]]-C23)/C23*100</f>
        <v>-0.4268846108749148</v>
      </c>
      <c r="G24" s="14">
        <f>(Table4[[#This Row],[Value (In Cr.)]]-D23)/D23*100</f>
        <v>-1.4191528313028186</v>
      </c>
    </row>
    <row r="25" spans="1:7" x14ac:dyDescent="0.25">
      <c r="A25" s="11">
        <v>44256</v>
      </c>
      <c r="B25" s="1">
        <v>216</v>
      </c>
      <c r="C25" s="1">
        <v>2731.68</v>
      </c>
      <c r="D25" s="12">
        <v>504886.44</v>
      </c>
      <c r="E25" s="12" t="s">
        <v>22</v>
      </c>
      <c r="F25" s="16">
        <f>(Table4[[#This Row],[Volume (In Mn.)]]-C24)/C24*100</f>
        <v>19.13646473897683</v>
      </c>
      <c r="G25" s="16">
        <f>(Table4[[#This Row],[Value (In Cr.)]]-D24)/D24*100</f>
        <v>18.779269207210717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workbookViewId="0">
      <selection activeCell="F11" sqref="F11"/>
    </sheetView>
  </sheetViews>
  <sheetFormatPr defaultRowHeight="15.75" x14ac:dyDescent="0.25"/>
  <cols>
    <col min="1" max="1" width="24.5" bestFit="1" customWidth="1"/>
    <col min="2" max="2" width="20.875" customWidth="1"/>
    <col min="3" max="3" width="25" customWidth="1"/>
  </cols>
  <sheetData>
    <row r="1" spans="1:13" x14ac:dyDescent="0.25">
      <c r="A1" s="28" t="s">
        <v>26</v>
      </c>
      <c r="B1" s="29" t="s">
        <v>21</v>
      </c>
      <c r="C1" s="29" t="s">
        <v>22</v>
      </c>
    </row>
    <row r="2" spans="1:13" x14ac:dyDescent="0.25">
      <c r="A2" s="17" t="s">
        <v>27</v>
      </c>
      <c r="B2" s="18">
        <f>AVERAGE('Combined Data'!B2:B13)</f>
        <v>143.5</v>
      </c>
      <c r="C2" s="18">
        <f>AVERAGE('Combined Data'!B14:B25)</f>
        <v>183.41666666666666</v>
      </c>
    </row>
    <row r="3" spans="1:13" x14ac:dyDescent="0.25">
      <c r="A3" s="17" t="s">
        <v>28</v>
      </c>
      <c r="B3" s="18">
        <f>AVERAGE('Combined Data'!C2:C13)</f>
        <v>1043.2175</v>
      </c>
      <c r="C3" s="18">
        <f>AVERAGE('Combined Data'!C14:C25)</f>
        <v>1860.8875</v>
      </c>
    </row>
    <row r="4" spans="1:13" x14ac:dyDescent="0.25">
      <c r="A4" s="17" t="s">
        <v>29</v>
      </c>
      <c r="B4" s="18">
        <f>AVERAGE('Combined Data'!D2:D13)</f>
        <v>177644.17833333334</v>
      </c>
      <c r="C4" s="18">
        <f>AVERAGE('Combined Data'!D14:D25)</f>
        <v>341971.13166666665</v>
      </c>
    </row>
    <row r="5" spans="1:13" x14ac:dyDescent="0.25">
      <c r="A5" s="17" t="s">
        <v>30</v>
      </c>
      <c r="B5" s="18">
        <f>AVERAGE('Combined Data'!F2:F13)</f>
        <v>4.5866285860348457</v>
      </c>
      <c r="C5" s="18">
        <f>AVERAGE('Combined Data'!F14:F25)</f>
        <v>9.7950907602166932</v>
      </c>
    </row>
    <row r="6" spans="1:13" x14ac:dyDescent="0.25">
      <c r="A6" s="17" t="s">
        <v>31</v>
      </c>
      <c r="B6" s="18">
        <f>AVERAGE('Combined Data'!G2:G13)</f>
        <v>3.6627102983246758</v>
      </c>
      <c r="C6" s="18">
        <f>AVERAGE('Combined Data'!G14:G25)</f>
        <v>12.212945599065366</v>
      </c>
      <c r="J6" s="1"/>
      <c r="K6" s="1"/>
      <c r="L6" s="1"/>
      <c r="M6" s="1"/>
    </row>
    <row r="7" spans="1:13" x14ac:dyDescent="0.25">
      <c r="J7" s="1"/>
      <c r="K7" s="1"/>
      <c r="L7" s="1"/>
      <c r="M7" s="1"/>
    </row>
    <row r="8" spans="1:13" x14ac:dyDescent="0.25">
      <c r="J8" s="1"/>
      <c r="K8" s="1"/>
      <c r="L8" s="1"/>
      <c r="M8" s="1"/>
    </row>
    <row r="9" spans="1:13" x14ac:dyDescent="0.25">
      <c r="J9" s="1"/>
      <c r="K9" s="1"/>
      <c r="L9" s="1"/>
      <c r="M9" s="1"/>
    </row>
    <row r="10" spans="1:13" x14ac:dyDescent="0.25">
      <c r="J10" s="1"/>
      <c r="K10" s="1"/>
      <c r="L10" s="1"/>
      <c r="M10" s="1"/>
    </row>
    <row r="11" spans="1:13" x14ac:dyDescent="0.25">
      <c r="J11" s="1"/>
      <c r="K11" s="1"/>
      <c r="L11" s="1"/>
      <c r="M11" s="1"/>
    </row>
    <row r="12" spans="1:13" x14ac:dyDescent="0.25">
      <c r="J12" s="1"/>
      <c r="K12" s="1"/>
      <c r="L12" s="1"/>
      <c r="M12" s="1"/>
    </row>
    <row r="13" spans="1:13" x14ac:dyDescent="0.25">
      <c r="J13" s="1"/>
      <c r="K13" s="1"/>
      <c r="L13" s="1"/>
      <c r="M13" s="1"/>
    </row>
    <row r="14" spans="1:13" x14ac:dyDescent="0.25">
      <c r="J14" s="1"/>
      <c r="K14" s="1"/>
      <c r="L14" s="1"/>
      <c r="M14" s="1"/>
    </row>
    <row r="15" spans="1:13" x14ac:dyDescent="0.25">
      <c r="J15" s="1"/>
      <c r="K15" s="1"/>
      <c r="L15" s="1"/>
      <c r="M15" s="1"/>
    </row>
    <row r="16" spans="1:13" x14ac:dyDescent="0.25">
      <c r="J16" s="1"/>
      <c r="K16" s="1"/>
      <c r="L16" s="1"/>
      <c r="M16" s="1"/>
    </row>
    <row r="17" spans="5:13" x14ac:dyDescent="0.25">
      <c r="J17" s="1"/>
      <c r="K17" s="1"/>
      <c r="L17" s="1"/>
      <c r="M17" s="1"/>
    </row>
    <row r="18" spans="5:13" x14ac:dyDescent="0.25">
      <c r="J18" s="1"/>
      <c r="K18" s="1"/>
      <c r="L18" s="1"/>
      <c r="M18" s="1"/>
    </row>
    <row r="19" spans="5:13" x14ac:dyDescent="0.25">
      <c r="J19" s="1"/>
      <c r="K19" s="1"/>
      <c r="L19" s="1"/>
      <c r="M19" s="1"/>
    </row>
    <row r="20" spans="5:13" x14ac:dyDescent="0.25">
      <c r="J20" s="1"/>
      <c r="K20" s="1"/>
      <c r="L20" s="1"/>
      <c r="M20" s="1"/>
    </row>
    <row r="21" spans="5:13" x14ac:dyDescent="0.25">
      <c r="J21" s="1"/>
      <c r="K21" s="1"/>
      <c r="L21" s="1"/>
      <c r="M21" s="1"/>
    </row>
    <row r="22" spans="5:13" x14ac:dyDescent="0.25">
      <c r="J22" s="1"/>
      <c r="K22" s="1"/>
      <c r="L22" s="1"/>
      <c r="M22" s="1"/>
    </row>
    <row r="23" spans="5:13" x14ac:dyDescent="0.25">
      <c r="J23" s="1"/>
      <c r="K23" s="1"/>
      <c r="L23" s="1"/>
      <c r="M23" s="1"/>
    </row>
    <row r="24" spans="5:13" x14ac:dyDescent="0.25">
      <c r="J24" s="1"/>
      <c r="K24" s="1"/>
      <c r="L24" s="1"/>
      <c r="M24" s="1"/>
    </row>
    <row r="25" spans="5:13" x14ac:dyDescent="0.25">
      <c r="J25" s="1"/>
      <c r="K25" s="1"/>
      <c r="L25" s="1"/>
      <c r="M25" s="1"/>
    </row>
    <row r="26" spans="5:13" x14ac:dyDescent="0.25">
      <c r="J26" s="1"/>
      <c r="K26" s="1"/>
      <c r="L26" s="1"/>
      <c r="M26" s="1"/>
    </row>
    <row r="27" spans="5:13" x14ac:dyDescent="0.25">
      <c r="J27" s="1"/>
      <c r="K27" s="1"/>
      <c r="L27" s="1"/>
      <c r="M27" s="1"/>
    </row>
    <row r="28" spans="5:13" x14ac:dyDescent="0.25">
      <c r="J28" s="1"/>
      <c r="K28" s="1"/>
      <c r="L28" s="1"/>
      <c r="M28" s="1"/>
    </row>
    <row r="29" spans="5:13" x14ac:dyDescent="0.25">
      <c r="E29" s="1"/>
      <c r="F29" s="1"/>
      <c r="G29" s="1"/>
      <c r="H29" s="1"/>
      <c r="J29" s="1"/>
      <c r="K29" s="1"/>
      <c r="L29" s="1"/>
      <c r="M29" s="1"/>
    </row>
    <row r="30" spans="5:13" x14ac:dyDescent="0.25">
      <c r="E30" s="1"/>
      <c r="F30" s="1"/>
      <c r="G30" s="1"/>
      <c r="H30" s="1"/>
    </row>
    <row r="31" spans="5:13" x14ac:dyDescent="0.25">
      <c r="E31" s="1"/>
      <c r="F31" s="1"/>
      <c r="G31" s="1"/>
      <c r="H31" s="1"/>
    </row>
    <row r="32" spans="5:13" x14ac:dyDescent="0.25">
      <c r="E32" s="1"/>
      <c r="F32" s="1"/>
      <c r="G32" s="1"/>
      <c r="H32" s="1"/>
    </row>
    <row r="33" spans="5:8" x14ac:dyDescent="0.25">
      <c r="E33" s="1"/>
      <c r="F33" s="1"/>
      <c r="G33" s="1"/>
      <c r="H33" s="1"/>
    </row>
    <row r="34" spans="5:8" x14ac:dyDescent="0.25">
      <c r="E34" s="1"/>
      <c r="F34" s="1"/>
      <c r="G34" s="1"/>
      <c r="H34" s="1"/>
    </row>
    <row r="35" spans="5:8" x14ac:dyDescent="0.25">
      <c r="E35" s="1"/>
      <c r="F35" s="1"/>
      <c r="G35" s="1"/>
      <c r="H35" s="1"/>
    </row>
    <row r="36" spans="5:8" x14ac:dyDescent="0.25">
      <c r="E36" s="1"/>
      <c r="F36" s="1"/>
      <c r="G36" s="1"/>
      <c r="H36" s="1"/>
    </row>
    <row r="37" spans="5:8" x14ac:dyDescent="0.25">
      <c r="E37" s="1"/>
      <c r="F37" s="1"/>
      <c r="G37" s="1"/>
      <c r="H37" s="1"/>
    </row>
    <row r="38" spans="5:8" x14ac:dyDescent="0.25">
      <c r="E38" s="1"/>
      <c r="F38" s="1"/>
      <c r="G38" s="1"/>
      <c r="H38" s="1"/>
    </row>
    <row r="39" spans="5:8" x14ac:dyDescent="0.25">
      <c r="E39" s="1"/>
      <c r="F39" s="1"/>
      <c r="G39" s="1"/>
      <c r="H39" s="1"/>
    </row>
    <row r="40" spans="5:8" x14ac:dyDescent="0.25">
      <c r="E40" s="1"/>
      <c r="F40" s="1"/>
      <c r="G40" s="1"/>
      <c r="H40" s="1"/>
    </row>
    <row r="41" spans="5:8" x14ac:dyDescent="0.25">
      <c r="E41" s="1"/>
      <c r="F41" s="1"/>
      <c r="G41" s="1"/>
      <c r="H41" s="1"/>
    </row>
    <row r="42" spans="5:8" x14ac:dyDescent="0.25">
      <c r="E42" s="1"/>
      <c r="F42" s="1"/>
      <c r="G42" s="1"/>
      <c r="H42" s="1"/>
    </row>
    <row r="43" spans="5:8" x14ac:dyDescent="0.25">
      <c r="E43" s="1"/>
      <c r="F43" s="1"/>
      <c r="G43" s="1"/>
      <c r="H43" s="1"/>
    </row>
    <row r="44" spans="5:8" x14ac:dyDescent="0.25">
      <c r="E44" s="1"/>
      <c r="F44" s="1"/>
      <c r="G44" s="1"/>
      <c r="H44" s="1"/>
    </row>
    <row r="45" spans="5:8" x14ac:dyDescent="0.25">
      <c r="E45" s="1"/>
      <c r="F45" s="1"/>
      <c r="G45" s="1"/>
      <c r="H45" s="1"/>
    </row>
    <row r="46" spans="5:8" x14ac:dyDescent="0.25">
      <c r="E46" s="1"/>
      <c r="F46" s="1"/>
      <c r="G46" s="1"/>
      <c r="H46" s="1"/>
    </row>
    <row r="47" spans="5:8" x14ac:dyDescent="0.25">
      <c r="E47" s="1"/>
      <c r="F47" s="1"/>
      <c r="G47" s="1"/>
      <c r="H47" s="1"/>
    </row>
    <row r="48" spans="5:8" x14ac:dyDescent="0.25">
      <c r="E48" s="1"/>
      <c r="F48" s="1"/>
      <c r="G48" s="1"/>
      <c r="H48" s="1"/>
    </row>
    <row r="49" spans="5:8" x14ac:dyDescent="0.25">
      <c r="E49" s="1"/>
      <c r="F49" s="1"/>
      <c r="G49" s="1"/>
      <c r="H49" s="1"/>
    </row>
    <row r="50" spans="5:8" x14ac:dyDescent="0.25">
      <c r="E50" s="1"/>
      <c r="F50" s="1"/>
      <c r="G50" s="1"/>
      <c r="H50" s="1"/>
    </row>
    <row r="51" spans="5:8" x14ac:dyDescent="0.25">
      <c r="E51" s="1"/>
      <c r="F51" s="1"/>
      <c r="G51" s="1"/>
      <c r="H51" s="1"/>
    </row>
    <row r="52" spans="5:8" x14ac:dyDescent="0.25">
      <c r="E52" s="1"/>
      <c r="F52" s="1"/>
      <c r="G52" s="1"/>
      <c r="H52" s="1"/>
    </row>
  </sheetData>
  <pageMargins left="0.7" right="0.7" top="0.75" bottom="0.75" header="0.3" footer="0.3"/>
  <ignoredErrors>
    <ignoredError sqref="C2:C4 B2:B4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tabSelected="1" topLeftCell="A58" workbookViewId="0">
      <selection activeCell="O16" sqref="O16"/>
    </sheetView>
  </sheetViews>
  <sheetFormatPr defaultRowHeight="15.75" x14ac:dyDescent="0.25"/>
  <cols>
    <col min="1" max="1" width="15.75" customWidth="1"/>
    <col min="2" max="2" width="12.75" customWidth="1"/>
  </cols>
  <sheetData>
    <row r="1" spans="1:10" ht="23.25" x14ac:dyDescent="0.35">
      <c r="A1" s="61" t="s">
        <v>38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18.75" x14ac:dyDescent="0.3">
      <c r="A2" s="25" t="s">
        <v>33</v>
      </c>
      <c r="G2" s="19"/>
    </row>
    <row r="3" spans="1:10" x14ac:dyDescent="0.25">
      <c r="A3" s="24" t="s">
        <v>0</v>
      </c>
      <c r="B3" s="24" t="s">
        <v>32</v>
      </c>
    </row>
    <row r="4" spans="1:10" x14ac:dyDescent="0.25">
      <c r="A4" s="20">
        <v>43556</v>
      </c>
      <c r="B4" s="21">
        <v>781.79</v>
      </c>
    </row>
    <row r="5" spans="1:10" x14ac:dyDescent="0.25">
      <c r="A5" s="22">
        <v>43586</v>
      </c>
      <c r="B5" s="23">
        <v>733.54</v>
      </c>
    </row>
    <row r="6" spans="1:10" x14ac:dyDescent="0.25">
      <c r="A6" s="20">
        <v>43617</v>
      </c>
      <c r="B6" s="21">
        <v>754.54</v>
      </c>
    </row>
    <row r="7" spans="1:10" x14ac:dyDescent="0.25">
      <c r="A7" s="22">
        <v>43647</v>
      </c>
      <c r="B7" s="23">
        <v>822.29</v>
      </c>
    </row>
    <row r="8" spans="1:10" x14ac:dyDescent="0.25">
      <c r="A8" s="20">
        <v>43678</v>
      </c>
      <c r="B8" s="21">
        <v>918.35</v>
      </c>
    </row>
    <row r="9" spans="1:10" x14ac:dyDescent="0.25">
      <c r="A9" s="22">
        <v>43709</v>
      </c>
      <c r="B9" s="23">
        <v>955.02</v>
      </c>
    </row>
    <row r="10" spans="1:10" x14ac:dyDescent="0.25">
      <c r="A10" s="20">
        <v>43739</v>
      </c>
      <c r="B10" s="21">
        <v>1148.3599999999999</v>
      </c>
    </row>
    <row r="11" spans="1:10" x14ac:dyDescent="0.25">
      <c r="A11" s="22">
        <v>43770</v>
      </c>
      <c r="B11" s="23">
        <v>1218.77</v>
      </c>
    </row>
    <row r="12" spans="1:10" x14ac:dyDescent="0.25">
      <c r="A12" s="20">
        <v>43800</v>
      </c>
      <c r="B12" s="21">
        <v>1308.4000000000001</v>
      </c>
    </row>
    <row r="13" spans="1:10" x14ac:dyDescent="0.25">
      <c r="A13" s="22">
        <v>43831</v>
      </c>
      <c r="B13" s="23">
        <v>1305.02</v>
      </c>
    </row>
    <row r="14" spans="1:10" x14ac:dyDescent="0.25">
      <c r="A14" s="20">
        <v>43862</v>
      </c>
      <c r="B14" s="21">
        <v>1325.69</v>
      </c>
    </row>
    <row r="15" spans="1:10" x14ac:dyDescent="0.25">
      <c r="A15" s="22">
        <v>43891</v>
      </c>
      <c r="B15" s="23">
        <v>1246.8399999999999</v>
      </c>
    </row>
    <row r="16" spans="1:10" x14ac:dyDescent="0.25">
      <c r="A16" s="22">
        <v>43922</v>
      </c>
      <c r="B16" s="21">
        <v>999.57</v>
      </c>
    </row>
    <row r="17" spans="1:2" x14ac:dyDescent="0.25">
      <c r="A17" s="20">
        <v>43952</v>
      </c>
      <c r="B17" s="23">
        <v>1234.5</v>
      </c>
    </row>
    <row r="18" spans="1:2" x14ac:dyDescent="0.25">
      <c r="A18" s="22">
        <v>43983</v>
      </c>
      <c r="B18" s="21">
        <v>1336.93</v>
      </c>
    </row>
    <row r="19" spans="1:2" x14ac:dyDescent="0.25">
      <c r="A19" s="20">
        <v>44013</v>
      </c>
      <c r="B19" s="23">
        <v>1497.36</v>
      </c>
    </row>
    <row r="20" spans="1:2" x14ac:dyDescent="0.25">
      <c r="A20" s="22">
        <v>44044</v>
      </c>
      <c r="B20" s="21">
        <v>1618.83</v>
      </c>
    </row>
    <row r="21" spans="1:2" x14ac:dyDescent="0.25">
      <c r="A21" s="20">
        <v>44075</v>
      </c>
      <c r="B21" s="23">
        <v>1800.14</v>
      </c>
    </row>
    <row r="22" spans="1:2" x14ac:dyDescent="0.25">
      <c r="A22" s="22">
        <v>44105</v>
      </c>
      <c r="B22" s="21">
        <v>2071.62</v>
      </c>
    </row>
    <row r="23" spans="1:2" x14ac:dyDescent="0.25">
      <c r="A23" s="20">
        <v>44136</v>
      </c>
      <c r="B23" s="23">
        <v>2210.23</v>
      </c>
    </row>
    <row r="24" spans="1:2" x14ac:dyDescent="0.25">
      <c r="A24" s="22">
        <v>44166</v>
      </c>
      <c r="B24" s="21">
        <v>2234.16</v>
      </c>
    </row>
    <row r="25" spans="1:2" x14ac:dyDescent="0.25">
      <c r="A25" s="20">
        <v>44197</v>
      </c>
      <c r="B25" s="23">
        <v>2302.73</v>
      </c>
    </row>
    <row r="26" spans="1:2" x14ac:dyDescent="0.25">
      <c r="A26" s="22">
        <v>44228</v>
      </c>
      <c r="B26" s="21">
        <v>2292.9</v>
      </c>
    </row>
    <row r="27" spans="1:2" x14ac:dyDescent="0.25">
      <c r="A27" s="20">
        <v>44256</v>
      </c>
      <c r="B27" s="23">
        <v>2731.68</v>
      </c>
    </row>
    <row r="30" spans="1:2" ht="18.75" x14ac:dyDescent="0.3">
      <c r="A30" s="25" t="s">
        <v>34</v>
      </c>
      <c r="B30" s="1"/>
    </row>
    <row r="31" spans="1:2" x14ac:dyDescent="0.25">
      <c r="A31" s="24" t="s">
        <v>0</v>
      </c>
      <c r="B31" s="24" t="s">
        <v>35</v>
      </c>
    </row>
    <row r="32" spans="1:2" x14ac:dyDescent="0.25">
      <c r="A32" s="20">
        <v>43556</v>
      </c>
      <c r="B32" s="21">
        <v>142034.39000000001</v>
      </c>
    </row>
    <row r="33" spans="1:2" x14ac:dyDescent="0.25">
      <c r="A33" s="22">
        <v>43586</v>
      </c>
      <c r="B33" s="23">
        <v>152449.29</v>
      </c>
    </row>
    <row r="34" spans="1:2" x14ac:dyDescent="0.25">
      <c r="A34" s="20">
        <v>43617</v>
      </c>
      <c r="B34" s="21">
        <v>146566.35</v>
      </c>
    </row>
    <row r="35" spans="1:2" x14ac:dyDescent="0.25">
      <c r="A35" s="22">
        <v>43647</v>
      </c>
      <c r="B35" s="23">
        <v>146386.64000000001</v>
      </c>
    </row>
    <row r="36" spans="1:2" x14ac:dyDescent="0.25">
      <c r="A36" s="20">
        <v>43678</v>
      </c>
      <c r="B36" s="21">
        <v>154504.89000000001</v>
      </c>
    </row>
    <row r="37" spans="1:2" x14ac:dyDescent="0.25">
      <c r="A37" s="22">
        <v>43709</v>
      </c>
      <c r="B37" s="23">
        <v>161456.56</v>
      </c>
    </row>
    <row r="38" spans="1:2" x14ac:dyDescent="0.25">
      <c r="A38" s="20">
        <v>43739</v>
      </c>
      <c r="B38" s="21">
        <v>191359.94</v>
      </c>
    </row>
    <row r="39" spans="1:2" x14ac:dyDescent="0.25">
      <c r="A39" s="22">
        <v>43770</v>
      </c>
      <c r="B39" s="23">
        <v>189229.09</v>
      </c>
    </row>
    <row r="40" spans="1:2" x14ac:dyDescent="0.25">
      <c r="A40" s="20">
        <v>43800</v>
      </c>
      <c r="B40" s="21">
        <v>202520.76</v>
      </c>
    </row>
    <row r="41" spans="1:2" x14ac:dyDescent="0.25">
      <c r="A41" s="22">
        <v>43831</v>
      </c>
      <c r="B41" s="23">
        <v>216242.97</v>
      </c>
    </row>
    <row r="42" spans="1:2" x14ac:dyDescent="0.25">
      <c r="A42" s="20">
        <v>43862</v>
      </c>
      <c r="B42" s="21">
        <v>222516.95</v>
      </c>
    </row>
    <row r="43" spans="1:2" x14ac:dyDescent="0.25">
      <c r="A43" s="22">
        <v>43891</v>
      </c>
      <c r="B43" s="23">
        <v>206462.31</v>
      </c>
    </row>
    <row r="44" spans="1:2" x14ac:dyDescent="0.25">
      <c r="A44" s="22">
        <v>43922</v>
      </c>
      <c r="B44" s="21">
        <v>151140.66</v>
      </c>
    </row>
    <row r="45" spans="1:2" x14ac:dyDescent="0.25">
      <c r="A45" s="20">
        <v>43952</v>
      </c>
      <c r="B45" s="23">
        <v>218391.6</v>
      </c>
    </row>
    <row r="46" spans="1:2" x14ac:dyDescent="0.25">
      <c r="A46" s="22">
        <v>43983</v>
      </c>
      <c r="B46" s="21">
        <v>261835</v>
      </c>
    </row>
    <row r="47" spans="1:2" x14ac:dyDescent="0.25">
      <c r="A47" s="20">
        <v>44013</v>
      </c>
      <c r="B47" s="23">
        <v>290537.86</v>
      </c>
    </row>
    <row r="48" spans="1:2" x14ac:dyDescent="0.25">
      <c r="A48" s="22">
        <v>44044</v>
      </c>
      <c r="B48" s="21">
        <v>298307.61</v>
      </c>
    </row>
    <row r="49" spans="1:6" x14ac:dyDescent="0.25">
      <c r="A49" s="20">
        <v>44075</v>
      </c>
      <c r="B49" s="23">
        <v>329027.65999999997</v>
      </c>
    </row>
    <row r="50" spans="1:6" x14ac:dyDescent="0.25">
      <c r="A50" s="22">
        <v>44105</v>
      </c>
      <c r="B50" s="21">
        <v>386106.74</v>
      </c>
    </row>
    <row r="51" spans="1:6" x14ac:dyDescent="0.25">
      <c r="A51" s="20">
        <v>44136</v>
      </c>
      <c r="B51" s="23">
        <v>390999.15</v>
      </c>
    </row>
    <row r="52" spans="1:6" x14ac:dyDescent="0.25">
      <c r="A52" s="22">
        <v>44166</v>
      </c>
      <c r="B52" s="21">
        <v>416176.21</v>
      </c>
    </row>
    <row r="53" spans="1:6" x14ac:dyDescent="0.25">
      <c r="A53" s="20">
        <v>44197</v>
      </c>
      <c r="B53" s="23">
        <v>431181.89</v>
      </c>
    </row>
    <row r="54" spans="1:6" x14ac:dyDescent="0.25">
      <c r="A54" s="22">
        <v>44228</v>
      </c>
      <c r="B54" s="21">
        <v>425062.76</v>
      </c>
    </row>
    <row r="55" spans="1:6" x14ac:dyDescent="0.25">
      <c r="A55" s="20">
        <v>44256</v>
      </c>
      <c r="B55" s="23">
        <v>504886.44</v>
      </c>
    </row>
    <row r="56" spans="1:6" s="1" customFormat="1" x14ac:dyDescent="0.25">
      <c r="A56" s="26"/>
      <c r="B56" s="27"/>
    </row>
    <row r="58" spans="1:6" ht="18.75" x14ac:dyDescent="0.3">
      <c r="A58" s="25" t="s">
        <v>36</v>
      </c>
      <c r="B58" s="1"/>
    </row>
    <row r="59" spans="1:6" x14ac:dyDescent="0.25">
      <c r="A59" s="24" t="s">
        <v>0</v>
      </c>
      <c r="B59" s="24" t="s">
        <v>37</v>
      </c>
      <c r="F59" s="19"/>
    </row>
    <row r="60" spans="1:6" x14ac:dyDescent="0.25">
      <c r="A60" s="22">
        <v>43556</v>
      </c>
      <c r="B60" s="23">
        <v>144</v>
      </c>
    </row>
    <row r="61" spans="1:6" x14ac:dyDescent="0.25">
      <c r="A61" s="20">
        <v>43586</v>
      </c>
      <c r="B61" s="21">
        <v>146</v>
      </c>
    </row>
    <row r="62" spans="1:6" x14ac:dyDescent="0.25">
      <c r="A62" s="22">
        <v>43617</v>
      </c>
      <c r="B62" s="23">
        <v>142</v>
      </c>
    </row>
    <row r="63" spans="1:6" x14ac:dyDescent="0.25">
      <c r="A63" s="20">
        <v>43647</v>
      </c>
      <c r="B63" s="21">
        <v>143</v>
      </c>
    </row>
    <row r="64" spans="1:6" x14ac:dyDescent="0.25">
      <c r="A64" s="22">
        <v>43678</v>
      </c>
      <c r="B64" s="23">
        <v>141</v>
      </c>
    </row>
    <row r="65" spans="1:2" x14ac:dyDescent="0.25">
      <c r="A65" s="20">
        <v>43709</v>
      </c>
      <c r="B65" s="21">
        <v>141</v>
      </c>
    </row>
    <row r="66" spans="1:2" x14ac:dyDescent="0.25">
      <c r="A66" s="22">
        <v>43739</v>
      </c>
      <c r="B66" s="23">
        <v>141</v>
      </c>
    </row>
    <row r="67" spans="1:2" x14ac:dyDescent="0.25">
      <c r="A67" s="20">
        <v>43770</v>
      </c>
      <c r="B67" s="21">
        <v>143</v>
      </c>
    </row>
    <row r="68" spans="1:2" x14ac:dyDescent="0.25">
      <c r="A68" s="22">
        <v>43800</v>
      </c>
      <c r="B68" s="23">
        <v>143</v>
      </c>
    </row>
    <row r="69" spans="1:2" x14ac:dyDescent="0.25">
      <c r="A69" s="20">
        <v>43831</v>
      </c>
      <c r="B69" s="21">
        <v>144</v>
      </c>
    </row>
    <row r="70" spans="1:2" x14ac:dyDescent="0.25">
      <c r="A70" s="22">
        <v>43862</v>
      </c>
      <c r="B70" s="23">
        <v>146</v>
      </c>
    </row>
    <row r="71" spans="1:2" x14ac:dyDescent="0.25">
      <c r="A71" s="22">
        <v>43891</v>
      </c>
      <c r="B71" s="21">
        <v>148</v>
      </c>
    </row>
    <row r="72" spans="1:2" x14ac:dyDescent="0.25">
      <c r="A72" s="20">
        <v>43922</v>
      </c>
      <c r="B72" s="23">
        <v>153</v>
      </c>
    </row>
    <row r="73" spans="1:2" x14ac:dyDescent="0.25">
      <c r="A73" s="22">
        <v>43952</v>
      </c>
      <c r="B73" s="21">
        <v>155</v>
      </c>
    </row>
    <row r="74" spans="1:2" x14ac:dyDescent="0.25">
      <c r="A74" s="20">
        <v>43983</v>
      </c>
      <c r="B74" s="23">
        <v>155</v>
      </c>
    </row>
    <row r="75" spans="1:2" x14ac:dyDescent="0.25">
      <c r="A75" s="22">
        <v>44013</v>
      </c>
      <c r="B75" s="21">
        <v>164</v>
      </c>
    </row>
    <row r="76" spans="1:2" x14ac:dyDescent="0.25">
      <c r="A76" s="20">
        <v>44044</v>
      </c>
      <c r="B76" s="23">
        <v>168</v>
      </c>
    </row>
    <row r="77" spans="1:2" x14ac:dyDescent="0.25">
      <c r="A77" s="22">
        <v>44075</v>
      </c>
      <c r="B77" s="21">
        <v>174</v>
      </c>
    </row>
    <row r="78" spans="1:2" x14ac:dyDescent="0.25">
      <c r="A78" s="20">
        <v>44105</v>
      </c>
      <c r="B78" s="23">
        <v>189</v>
      </c>
    </row>
    <row r="79" spans="1:2" x14ac:dyDescent="0.25">
      <c r="A79" s="22">
        <v>44136</v>
      </c>
      <c r="B79" s="21">
        <v>200</v>
      </c>
    </row>
    <row r="80" spans="1:2" x14ac:dyDescent="0.25">
      <c r="A80" s="20">
        <v>44166</v>
      </c>
      <c r="B80" s="23">
        <v>207</v>
      </c>
    </row>
    <row r="81" spans="1:2" x14ac:dyDescent="0.25">
      <c r="A81" s="22">
        <v>44197</v>
      </c>
      <c r="B81" s="21">
        <v>207</v>
      </c>
    </row>
    <row r="82" spans="1:2" x14ac:dyDescent="0.25">
      <c r="A82" s="22">
        <v>44228</v>
      </c>
      <c r="B82" s="1">
        <v>213</v>
      </c>
    </row>
    <row r="83" spans="1:2" x14ac:dyDescent="0.25">
      <c r="A83" s="20">
        <v>44256</v>
      </c>
      <c r="B83" s="1">
        <v>216</v>
      </c>
    </row>
    <row r="84" spans="1:2" x14ac:dyDescent="0.25">
      <c r="B84" s="1"/>
    </row>
    <row r="85" spans="1:2" x14ac:dyDescent="0.25">
      <c r="B85" s="1"/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9" sqref="C19"/>
    </sheetView>
  </sheetViews>
  <sheetFormatPr defaultRowHeight="15.75" x14ac:dyDescent="0.25"/>
  <cols>
    <col min="5" max="5" width="11.75" customWidth="1"/>
  </cols>
  <sheetData>
    <row r="1" spans="1:6" x14ac:dyDescent="0.25">
      <c r="A1" s="33" t="s">
        <v>44</v>
      </c>
      <c r="B1" s="34"/>
      <c r="C1" s="34"/>
      <c r="D1" s="34"/>
      <c r="E1" s="34"/>
      <c r="F1" s="35"/>
    </row>
    <row r="2" spans="1:6" x14ac:dyDescent="0.25">
      <c r="A2" s="62" t="s">
        <v>39</v>
      </c>
      <c r="B2" s="63"/>
      <c r="C2" s="63"/>
      <c r="D2" s="63"/>
      <c r="E2" s="63"/>
      <c r="F2" s="64"/>
    </row>
    <row r="3" spans="1:6" x14ac:dyDescent="0.25">
      <c r="A3" s="65" t="s">
        <v>40</v>
      </c>
      <c r="B3" s="66"/>
      <c r="C3" s="66"/>
      <c r="D3" s="66"/>
      <c r="E3" s="66"/>
      <c r="F3" s="67"/>
    </row>
    <row r="4" spans="1:6" x14ac:dyDescent="0.25">
      <c r="A4" s="65" t="s">
        <v>41</v>
      </c>
      <c r="B4" s="66"/>
      <c r="C4" s="66"/>
      <c r="D4" s="66"/>
      <c r="E4" s="66"/>
      <c r="F4" s="67"/>
    </row>
    <row r="5" spans="1:6" x14ac:dyDescent="0.25">
      <c r="A5" s="65" t="s">
        <v>42</v>
      </c>
      <c r="B5" s="66"/>
      <c r="C5" s="66"/>
      <c r="D5" s="66"/>
      <c r="E5" s="66"/>
      <c r="F5" s="67"/>
    </row>
    <row r="6" spans="1:6" x14ac:dyDescent="0.25">
      <c r="A6" s="68" t="s">
        <v>43</v>
      </c>
      <c r="B6" s="69"/>
      <c r="C6" s="69"/>
      <c r="D6" s="69"/>
      <c r="E6" s="69"/>
      <c r="F6" s="70"/>
    </row>
  </sheetData>
  <mergeCells count="5">
    <mergeCell ref="A2:F2"/>
    <mergeCell ref="A3:F3"/>
    <mergeCell ref="A4:F4"/>
    <mergeCell ref="A5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Title</vt:lpstr>
      <vt:lpstr>Product Statistics-19-20</vt:lpstr>
      <vt:lpstr>Product Statistics-20-21</vt:lpstr>
      <vt:lpstr>Combined Data</vt:lpstr>
      <vt:lpstr>Comparative Analysis</vt:lpstr>
      <vt:lpstr>Graphical Representation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2026-05-24T05:30:00Z</dcterms:created>
  <dcterms:modified xsi:type="dcterms:W3CDTF">2026-05-24T09:28:32Z</dcterms:modified>
</cp:coreProperties>
</file>